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mc:AlternateContent xmlns:mc="http://schemas.openxmlformats.org/markup-compatibility/2006">
    <mc:Choice Requires="x15">
      <x15ac:absPath xmlns:x15ac="http://schemas.microsoft.com/office/spreadsheetml/2010/11/ac" url="https://binusianorg-my.sharepoint.com/personal/muhammad_prasetya007_binus_ac_id/Documents/Kuliah/Project Portofolio/Work Records/"/>
    </mc:Choice>
  </mc:AlternateContent>
  <xr:revisionPtr revIDLastSave="177" documentId="8_{1F0E3F0C-1636-2142-B93E-3AD6684DBF1E}" xr6:coauthVersionLast="47" xr6:coauthVersionMax="47" xr10:uidLastSave="{9BA49B33-1731-4F72-9E3B-41D488CF0B6A}"/>
  <bookViews>
    <workbookView xWindow="-108" yWindow="-108" windowWidth="23256" windowHeight="12456" firstSheet="1" activeTab="5" xr2:uid="{00000000-000D-0000-FFFF-FFFF00000000}"/>
  </bookViews>
  <sheets>
    <sheet name="Customization" sheetId="4" r:id="rId1"/>
    <sheet name="Events" sheetId="5" r:id="rId2"/>
    <sheet name="Deductions" sheetId="6" r:id="rId3"/>
    <sheet name="Work Records" sheetId="1" r:id="rId4"/>
    <sheet name="Pivot Table" sheetId="2" r:id="rId5"/>
    <sheet name="Dashboard" sheetId="3" r:id="rId6"/>
    <sheet name="Attendance Recap" sheetId="7" r:id="rId7"/>
  </sheets>
  <definedNames>
    <definedName name="_xlnm._FilterDatabase" localSheetId="3" hidden="1">'Work Records'!#REF!</definedName>
    <definedName name="_xlcn.WorksheetConnection_Book1.xlsxTable21" hidden="1">TblRecords[]</definedName>
    <definedName name="Slicer_Payroll_Month">#N/A</definedName>
    <definedName name="Slicer_Payroll_Year">#N/A</definedName>
  </definedNames>
  <calcPr calcId="191028"/>
  <pivotCaches>
    <pivotCache cacheId="9"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Book (1).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8" i="7" l="1"/>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7" i="7"/>
  <c r="G3" i="7"/>
  <c r="C3" i="7"/>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C48" i="1" a="1"/>
  <c r="C49" i="1" a="1"/>
  <c r="C50" i="1" a="1"/>
  <c r="C51" i="1" a="1"/>
  <c r="C52" i="1" a="1"/>
  <c r="C53" i="1" a="1"/>
  <c r="C54" i="1" a="1"/>
  <c r="C55" i="1" a="1"/>
  <c r="C56" i="1" a="1"/>
  <c r="C57" i="1" a="1"/>
  <c r="C58" i="1" a="1"/>
  <c r="C59" i="1" a="1"/>
  <c r="C60" i="1" a="1"/>
  <c r="C61" i="1" a="1"/>
  <c r="C62" i="1" a="1"/>
  <c r="C63" i="1" a="1"/>
  <c r="C64" i="1" a="1"/>
  <c r="C65" i="1" a="1"/>
  <c r="C66" i="1" a="1"/>
  <c r="C67" i="1" a="1"/>
  <c r="C68" i="1" a="1"/>
  <c r="C69" i="1" a="1"/>
  <c r="C70" i="1" a="1"/>
  <c r="C71" i="1" a="1"/>
  <c r="C72" i="1" a="1"/>
  <c r="C73" i="1" a="1"/>
  <c r="C74" i="1" a="1"/>
  <c r="C75" i="1" a="1"/>
  <c r="C76" i="1" a="1"/>
  <c r="C77" i="1" a="1"/>
  <c r="C78" i="1" a="1"/>
  <c r="C79" i="1" a="1"/>
  <c r="C80" i="1" a="1"/>
  <c r="C81" i="1" a="1"/>
  <c r="C82" i="1" a="1"/>
  <c r="C83" i="1" a="1"/>
  <c r="C84" i="1" a="1"/>
  <c r="C85" i="1" a="1"/>
  <c r="C86" i="1" a="1"/>
  <c r="C87" i="1" a="1"/>
  <c r="C88" i="1" a="1"/>
  <c r="C89" i="1" a="1"/>
  <c r="C90" i="1" a="1"/>
  <c r="C91" i="1" a="1"/>
  <c r="C92" i="1" a="1"/>
  <c r="C93" i="1" a="1"/>
  <c r="C94" i="1" a="1"/>
  <c r="C95" i="1" a="1"/>
  <c r="C96" i="1" a="1"/>
  <c r="C97" i="1" a="1"/>
  <c r="C98" i="1" a="1"/>
  <c r="C99" i="1" a="1"/>
  <c r="C100" i="1" a="1"/>
  <c r="C101" i="1" a="1"/>
  <c r="C102" i="1" a="1"/>
  <c r="C103" i="1" a="1"/>
  <c r="C104" i="1" a="1"/>
  <c r="C105" i="1" a="1"/>
  <c r="C106" i="1" a="1"/>
  <c r="C107" i="1" a="1"/>
  <c r="C108" i="1" a="1"/>
  <c r="C109" i="1" a="1"/>
  <c r="C110" i="1" a="1"/>
  <c r="C111" i="1" a="1"/>
  <c r="C112" i="1" a="1"/>
  <c r="C113" i="1" a="1"/>
  <c r="C114" i="1" a="1"/>
  <c r="C115" i="1" a="1"/>
  <c r="C116" i="1" a="1"/>
  <c r="M116" i="1" a="1"/>
  <c r="M115" i="1" a="1"/>
  <c r="M114" i="1" a="1"/>
  <c r="M113" i="1" a="1"/>
  <c r="M112" i="1" a="1"/>
  <c r="M111" i="1" a="1"/>
  <c r="M110" i="1" a="1"/>
  <c r="M109" i="1" a="1"/>
  <c r="M108" i="1" a="1"/>
  <c r="M107" i="1" a="1"/>
  <c r="M106" i="1" a="1"/>
  <c r="M105" i="1" a="1"/>
  <c r="M104" i="1" a="1"/>
  <c r="M103" i="1" a="1"/>
  <c r="M102" i="1" a="1"/>
  <c r="M101" i="1" a="1"/>
  <c r="M100" i="1" a="1"/>
  <c r="M99" i="1" a="1"/>
  <c r="M98" i="1" a="1"/>
  <c r="M97" i="1" a="1"/>
  <c r="M96" i="1" a="1"/>
  <c r="M95" i="1" a="1"/>
  <c r="M94" i="1" a="1"/>
  <c r="M93" i="1" a="1"/>
  <c r="M92" i="1" a="1"/>
  <c r="M91" i="1" a="1"/>
  <c r="M90" i="1" a="1"/>
  <c r="M89" i="1" a="1"/>
  <c r="M88" i="1" a="1"/>
  <c r="M87" i="1" a="1"/>
  <c r="M86" i="1" a="1"/>
  <c r="M85" i="1" a="1"/>
  <c r="M84" i="1" a="1"/>
  <c r="M83" i="1" a="1"/>
  <c r="M82" i="1" a="1"/>
  <c r="M81" i="1" a="1"/>
  <c r="M80" i="1" a="1"/>
  <c r="M79" i="1" a="1"/>
  <c r="M78" i="1" a="1"/>
  <c r="M77" i="1" a="1"/>
  <c r="M76" i="1" a="1"/>
  <c r="M75" i="1" a="1"/>
  <c r="M74" i="1" a="1"/>
  <c r="M73" i="1" a="1"/>
  <c r="M72" i="1" a="1"/>
  <c r="M71" i="1" a="1"/>
  <c r="M70" i="1" a="1"/>
  <c r="M69" i="1" a="1"/>
  <c r="M68" i="1" a="1"/>
  <c r="M67" i="1" a="1"/>
  <c r="M66" i="1" a="1"/>
  <c r="M65" i="1" a="1"/>
  <c r="M64" i="1" a="1"/>
  <c r="M63" i="1" a="1"/>
  <c r="M62" i="1" a="1"/>
  <c r="M61" i="1" a="1"/>
  <c r="M60" i="1" a="1"/>
  <c r="M59" i="1" a="1"/>
  <c r="M58" i="1" a="1"/>
  <c r="M57" i="1" a="1"/>
  <c r="M56" i="1" a="1"/>
  <c r="M55" i="1" a="1"/>
  <c r="M54" i="1" a="1"/>
  <c r="M53" i="1" a="1"/>
  <c r="M52" i="1" a="1"/>
  <c r="M51" i="1" a="1"/>
  <c r="M50" i="1" a="1"/>
  <c r="M49" i="1" a="1"/>
  <c r="M48" i="1" a="1"/>
  <c r="M47" i="1" a="1"/>
  <c r="M46" i="1" a="1"/>
  <c r="M45" i="1" a="1"/>
  <c r="M44" i="1" a="1"/>
  <c r="M43" i="1" a="1"/>
  <c r="M42" i="1" a="1"/>
  <c r="M41" i="1" a="1"/>
  <c r="M40" i="1" a="1"/>
  <c r="M39" i="1" a="1"/>
  <c r="M38" i="1" a="1"/>
  <c r="M37" i="1" a="1"/>
  <c r="M36" i="1" a="1"/>
  <c r="M35" i="1" a="1"/>
  <c r="M34" i="1" a="1"/>
  <c r="M33" i="1" a="1"/>
  <c r="M32" i="1" a="1"/>
  <c r="M31" i="1" a="1"/>
  <c r="M30" i="1" a="1"/>
  <c r="M29" i="1" a="1"/>
  <c r="M28" i="1" a="1"/>
  <c r="M27" i="1" a="1"/>
  <c r="M26" i="1" a="1"/>
  <c r="M25" i="1" a="1"/>
  <c r="M24" i="1" a="1"/>
  <c r="M23" i="1" a="1"/>
  <c r="M22" i="1" a="1"/>
  <c r="M21" i="1" a="1"/>
  <c r="M20" i="1" a="1"/>
  <c r="M19" i="1" a="1"/>
  <c r="M18" i="1" a="1"/>
  <c r="M17" i="1" a="1"/>
  <c r="M16" i="1" a="1"/>
  <c r="M15" i="1" a="1"/>
  <c r="M14" i="1" a="1"/>
  <c r="M13" i="1" a="1"/>
  <c r="M12" i="1" a="1"/>
  <c r="M11" i="1" a="1"/>
  <c r="M10" i="1" a="1"/>
  <c r="M9" i="1" a="1"/>
  <c r="M8" i="1" a="1"/>
  <c r="M7" i="1" a="1"/>
  <c r="M6" i="1" a="1"/>
  <c r="M5" i="1" a="1"/>
  <c r="M4" i="1" a="1"/>
  <c r="M3" i="1" a="1"/>
  <c r="M2" i="1" a="1"/>
  <c r="L116" i="1" a="1"/>
  <c r="L115" i="1" a="1"/>
  <c r="L114" i="1" a="1"/>
  <c r="L113" i="1" a="1"/>
  <c r="L112" i="1" a="1"/>
  <c r="L111" i="1" a="1"/>
  <c r="L110" i="1" a="1"/>
  <c r="L109" i="1" a="1"/>
  <c r="L108" i="1" a="1"/>
  <c r="L107" i="1" a="1"/>
  <c r="L106" i="1" a="1"/>
  <c r="L105" i="1" a="1"/>
  <c r="L104" i="1" a="1"/>
  <c r="L103" i="1" a="1"/>
  <c r="L102" i="1" a="1"/>
  <c r="L101" i="1" a="1"/>
  <c r="L100" i="1" a="1"/>
  <c r="L99" i="1" a="1"/>
  <c r="L98" i="1" a="1"/>
  <c r="L97" i="1" a="1"/>
  <c r="L96" i="1" a="1"/>
  <c r="L95" i="1" a="1"/>
  <c r="L94" i="1" a="1"/>
  <c r="L93" i="1" a="1"/>
  <c r="L92" i="1" a="1"/>
  <c r="L91" i="1" a="1"/>
  <c r="L90" i="1" a="1"/>
  <c r="L89" i="1" a="1"/>
  <c r="L88" i="1" a="1"/>
  <c r="L87" i="1" a="1"/>
  <c r="L86" i="1" a="1"/>
  <c r="L85" i="1" a="1"/>
  <c r="L84" i="1" a="1"/>
  <c r="L83" i="1" a="1"/>
  <c r="L82" i="1" a="1"/>
  <c r="L81" i="1" a="1"/>
  <c r="L80" i="1" a="1"/>
  <c r="L79" i="1" a="1"/>
  <c r="L78" i="1" a="1"/>
  <c r="L77" i="1" a="1"/>
  <c r="L76" i="1" a="1"/>
  <c r="L75" i="1" a="1"/>
  <c r="L74" i="1" a="1"/>
  <c r="L73" i="1" a="1"/>
  <c r="L72" i="1" a="1"/>
  <c r="L71" i="1" a="1"/>
  <c r="L70" i="1" a="1"/>
  <c r="L69" i="1" a="1"/>
  <c r="L68" i="1" a="1"/>
  <c r="L67" i="1" a="1"/>
  <c r="L66" i="1" a="1"/>
  <c r="L65" i="1" a="1"/>
  <c r="L64" i="1" a="1"/>
  <c r="L63" i="1" a="1"/>
  <c r="L62" i="1" a="1"/>
  <c r="L61" i="1" a="1"/>
  <c r="L60" i="1" a="1"/>
  <c r="L59" i="1" a="1"/>
  <c r="L58" i="1" a="1"/>
  <c r="L57" i="1" a="1"/>
  <c r="L56" i="1" a="1"/>
  <c r="L55" i="1" a="1"/>
  <c r="L54" i="1" a="1"/>
  <c r="L53" i="1" a="1"/>
  <c r="L52" i="1" a="1"/>
  <c r="L51" i="1" a="1"/>
  <c r="L50" i="1" a="1"/>
  <c r="L49" i="1" a="1"/>
  <c r="L48" i="1" a="1"/>
  <c r="L47" i="1" a="1"/>
  <c r="L46" i="1" a="1"/>
  <c r="L45" i="1" a="1"/>
  <c r="L44" i="1" a="1"/>
  <c r="L43" i="1" a="1"/>
  <c r="L42" i="1" a="1"/>
  <c r="L41" i="1" a="1"/>
  <c r="L40" i="1" a="1"/>
  <c r="L39" i="1" a="1"/>
  <c r="L38" i="1" a="1"/>
  <c r="L37" i="1" a="1"/>
  <c r="L36" i="1" a="1"/>
  <c r="L35" i="1" a="1"/>
  <c r="L34" i="1" a="1"/>
  <c r="L33" i="1" a="1"/>
  <c r="L32" i="1" a="1"/>
  <c r="L31" i="1" a="1"/>
  <c r="L30" i="1" a="1"/>
  <c r="L29" i="1" a="1"/>
  <c r="L28" i="1" a="1"/>
  <c r="L27" i="1" a="1"/>
  <c r="L26" i="1" a="1"/>
  <c r="L25" i="1" a="1"/>
  <c r="L24" i="1" a="1"/>
  <c r="L23" i="1" a="1"/>
  <c r="L22" i="1" a="1"/>
  <c r="L21" i="1" a="1"/>
  <c r="L20" i="1" a="1"/>
  <c r="L19" i="1" a="1"/>
  <c r="L18" i="1" a="1"/>
  <c r="L17" i="1" a="1"/>
  <c r="L16" i="1" a="1"/>
  <c r="L15" i="1" a="1"/>
  <c r="L14" i="1" a="1"/>
  <c r="L13" i="1" a="1"/>
  <c r="L12" i="1" a="1"/>
  <c r="L11" i="1" a="1"/>
  <c r="L10" i="1" a="1"/>
  <c r="L9" i="1" a="1"/>
  <c r="L8" i="1" a="1"/>
  <c r="L7" i="1" a="1"/>
  <c r="L6" i="1" a="1"/>
  <c r="L5" i="1" a="1"/>
  <c r="L4" i="1" a="1"/>
  <c r="L3" i="1" a="1"/>
  <c r="L2" i="1" a="1"/>
  <c r="M3" i="4"/>
  <c r="G23" i="2"/>
  <c r="H3" i="2"/>
  <c r="C10" i="1" a="1"/>
  <c r="C11" i="1" a="1"/>
  <c r="C12" i="1" a="1"/>
  <c r="C13" i="1" a="1"/>
  <c r="C14" i="1" a="1"/>
  <c r="C15" i="1" a="1"/>
  <c r="C16" i="1" a="1"/>
  <c r="C17" i="1" a="1"/>
  <c r="C18" i="1" a="1"/>
  <c r="C19" i="1" a="1"/>
  <c r="C20" i="1" a="1"/>
  <c r="C21" i="1" a="1"/>
  <c r="C22" i="1" a="1"/>
  <c r="C23" i="1" a="1"/>
  <c r="C24" i="1" a="1"/>
  <c r="C25" i="1" a="1"/>
  <c r="C26" i="1" a="1"/>
  <c r="C27" i="1" a="1"/>
  <c r="C28" i="1" a="1"/>
  <c r="C29" i="1" a="1"/>
  <c r="C30" i="1" a="1"/>
  <c r="C31" i="1" a="1"/>
  <c r="C32" i="1" a="1"/>
  <c r="C33" i="1" a="1"/>
  <c r="C34" i="1" a="1"/>
  <c r="C35" i="1" a="1"/>
  <c r="C36" i="1" a="1"/>
  <c r="C37" i="1" a="1"/>
  <c r="C38" i="1" a="1"/>
  <c r="M4" i="2"/>
  <c r="E5" i="2"/>
  <c r="F5" i="2" s="1"/>
  <c r="J4" i="1"/>
  <c r="J5" i="1"/>
  <c r="J7" i="1"/>
  <c r="J8" i="1"/>
  <c r="J10" i="1"/>
  <c r="J11" i="1"/>
  <c r="J12" i="1"/>
  <c r="J18" i="1"/>
  <c r="J19" i="1"/>
  <c r="J21" i="1"/>
  <c r="J24" i="1"/>
  <c r="J25" i="1"/>
  <c r="J31" i="1"/>
  <c r="J32" i="1"/>
  <c r="J38" i="1"/>
  <c r="J43" i="1"/>
  <c r="J44" i="1"/>
  <c r="J45" i="1"/>
  <c r="J51" i="1"/>
  <c r="J52" i="1"/>
  <c r="J58" i="1"/>
  <c r="J59" i="1"/>
  <c r="J60" i="1"/>
  <c r="J61" i="1"/>
  <c r="J64" i="1"/>
  <c r="J65" i="1"/>
  <c r="J71" i="1"/>
  <c r="J72" i="1"/>
  <c r="J78" i="1"/>
  <c r="J84" i="1"/>
  <c r="J85" i="1"/>
  <c r="J91" i="1"/>
  <c r="J92" i="1"/>
  <c r="J98" i="1"/>
  <c r="J104" i="1"/>
  <c r="J105" i="1"/>
  <c r="J111" i="1"/>
  <c r="J112" i="1"/>
  <c r="N2" i="1"/>
  <c r="N3" i="1"/>
  <c r="N4" i="1"/>
  <c r="N5" i="1"/>
  <c r="F5" i="1" s="1"/>
  <c r="N6" i="1"/>
  <c r="F6" i="1" s="1"/>
  <c r="N7" i="1"/>
  <c r="F7" i="1" s="1"/>
  <c r="N8" i="1"/>
  <c r="N9" i="1"/>
  <c r="F9" i="1" s="1"/>
  <c r="N10" i="1"/>
  <c r="F10" i="1" s="1"/>
  <c r="N11" i="1"/>
  <c r="N12" i="1"/>
  <c r="N13" i="1"/>
  <c r="F13" i="1" s="1"/>
  <c r="N14" i="1"/>
  <c r="F14" i="1" s="1"/>
  <c r="N15" i="1"/>
  <c r="F15" i="1" s="1"/>
  <c r="N16" i="1"/>
  <c r="F16" i="1" s="1"/>
  <c r="N17" i="1"/>
  <c r="F17" i="1" s="1"/>
  <c r="N18" i="1"/>
  <c r="F18" i="1" s="1"/>
  <c r="N19" i="1"/>
  <c r="F19" i="1" s="1"/>
  <c r="N20" i="1"/>
  <c r="F20" i="1" s="1"/>
  <c r="N21" i="1"/>
  <c r="F21" i="1" s="1"/>
  <c r="N22" i="1"/>
  <c r="F22" i="1" s="1"/>
  <c r="N23" i="1"/>
  <c r="F23" i="1" s="1"/>
  <c r="N24" i="1"/>
  <c r="F24" i="1" s="1"/>
  <c r="N25" i="1"/>
  <c r="F25" i="1" s="1"/>
  <c r="N26" i="1"/>
  <c r="F26" i="1" s="1"/>
  <c r="N27" i="1"/>
  <c r="F27" i="1" s="1"/>
  <c r="N28" i="1"/>
  <c r="F28" i="1" s="1"/>
  <c r="N29" i="1"/>
  <c r="F29" i="1" s="1"/>
  <c r="N30" i="1"/>
  <c r="F30" i="1" s="1"/>
  <c r="N31" i="1"/>
  <c r="F31" i="1" s="1"/>
  <c r="N32" i="1"/>
  <c r="F32" i="1" s="1"/>
  <c r="N33" i="1"/>
  <c r="F33" i="1" s="1"/>
  <c r="N34" i="1"/>
  <c r="F34" i="1" s="1"/>
  <c r="N35" i="1"/>
  <c r="F35" i="1" s="1"/>
  <c r="N36" i="1"/>
  <c r="F36" i="1" s="1"/>
  <c r="K36" i="1" s="1" a="1"/>
  <c r="N37" i="1"/>
  <c r="F37" i="1" s="1"/>
  <c r="N38" i="1"/>
  <c r="F38" i="1" s="1"/>
  <c r="N39" i="1"/>
  <c r="F39" i="1" s="1"/>
  <c r="N40" i="1"/>
  <c r="F40" i="1" s="1"/>
  <c r="N41" i="1"/>
  <c r="F41" i="1" s="1"/>
  <c r="N42" i="1"/>
  <c r="F42" i="1" s="1"/>
  <c r="N43" i="1"/>
  <c r="F43" i="1" s="1"/>
  <c r="N44" i="1"/>
  <c r="F44" i="1" s="1"/>
  <c r="N45" i="1"/>
  <c r="F45" i="1" s="1"/>
  <c r="N46" i="1"/>
  <c r="F46" i="1" s="1"/>
  <c r="N47" i="1"/>
  <c r="F47" i="1" s="1"/>
  <c r="N48" i="1"/>
  <c r="F48" i="1" s="1"/>
  <c r="N49" i="1"/>
  <c r="F49" i="1" s="1"/>
  <c r="N50" i="1"/>
  <c r="F50" i="1" s="1"/>
  <c r="N51" i="1"/>
  <c r="F51" i="1" s="1"/>
  <c r="N52" i="1"/>
  <c r="F52" i="1" s="1"/>
  <c r="N53" i="1"/>
  <c r="F53" i="1" s="1"/>
  <c r="N54" i="1"/>
  <c r="F54" i="1" s="1"/>
  <c r="N55" i="1"/>
  <c r="F55" i="1" s="1"/>
  <c r="N56" i="1"/>
  <c r="F56" i="1" s="1"/>
  <c r="N57" i="1"/>
  <c r="F57" i="1" s="1"/>
  <c r="N58" i="1"/>
  <c r="F58" i="1" s="1"/>
  <c r="N59" i="1"/>
  <c r="F59" i="1" s="1"/>
  <c r="N60" i="1"/>
  <c r="F60" i="1" s="1"/>
  <c r="N61" i="1"/>
  <c r="F61" i="1" s="1"/>
  <c r="N62" i="1"/>
  <c r="F62" i="1" s="1"/>
  <c r="N63" i="1"/>
  <c r="J63" i="1" s="1"/>
  <c r="N64" i="1"/>
  <c r="N65" i="1"/>
  <c r="N66" i="1"/>
  <c r="N67" i="1"/>
  <c r="N68" i="1"/>
  <c r="N69" i="1"/>
  <c r="N70" i="1"/>
  <c r="N71" i="1"/>
  <c r="N72" i="1"/>
  <c r="N73" i="1"/>
  <c r="N74" i="1"/>
  <c r="N75" i="1"/>
  <c r="N76" i="1"/>
  <c r="N77" i="1"/>
  <c r="N78" i="1"/>
  <c r="N79" i="1"/>
  <c r="N80" i="1"/>
  <c r="N81" i="1"/>
  <c r="N82" i="1"/>
  <c r="N83" i="1"/>
  <c r="N84" i="1"/>
  <c r="N85" i="1"/>
  <c r="N86" i="1"/>
  <c r="N87" i="1"/>
  <c r="N88" i="1"/>
  <c r="N89" i="1"/>
  <c r="N90" i="1"/>
  <c r="F90" i="1" s="1"/>
  <c r="K90" i="1" s="1" a="1"/>
  <c r="N91" i="1"/>
  <c r="F91" i="1" s="1"/>
  <c r="N92" i="1"/>
  <c r="F92" i="1" s="1"/>
  <c r="N93" i="1"/>
  <c r="F93" i="1" s="1"/>
  <c r="N94" i="1"/>
  <c r="F94" i="1" s="1"/>
  <c r="N95" i="1"/>
  <c r="F95" i="1" s="1"/>
  <c r="N96" i="1"/>
  <c r="F96" i="1" s="1"/>
  <c r="N97" i="1"/>
  <c r="F97" i="1" s="1"/>
  <c r="N98" i="1"/>
  <c r="F98" i="1" s="1"/>
  <c r="N99" i="1"/>
  <c r="F99" i="1" s="1"/>
  <c r="N100" i="1"/>
  <c r="F100" i="1" s="1"/>
  <c r="N101" i="1"/>
  <c r="F101" i="1" s="1"/>
  <c r="N102" i="1"/>
  <c r="F102" i="1" s="1"/>
  <c r="N103" i="1"/>
  <c r="N104" i="1"/>
  <c r="F104" i="1" s="1"/>
  <c r="N105" i="1"/>
  <c r="N106" i="1"/>
  <c r="N107" i="1"/>
  <c r="N108" i="1"/>
  <c r="N109" i="1"/>
  <c r="N110" i="1"/>
  <c r="N111" i="1"/>
  <c r="F111" i="1" s="1"/>
  <c r="N112" i="1"/>
  <c r="F112" i="1" s="1"/>
  <c r="N113" i="1"/>
  <c r="N114" i="1"/>
  <c r="N115" i="1"/>
  <c r="N116" i="1"/>
  <c r="F21" i="2"/>
  <c r="M1" i="2"/>
  <c r="M2" i="2"/>
  <c r="M3" i="2"/>
  <c r="C2" i="2"/>
  <c r="E38" i="7"/>
  <c r="D38" i="7"/>
  <c r="C3" i="1" a="1"/>
  <c r="C6" i="1" a="1"/>
  <c r="C5" i="1" a="1"/>
  <c r="C4" i="1" a="1"/>
  <c r="G6" i="1"/>
  <c r="J6" i="1"/>
  <c r="G9" i="1"/>
  <c r="J9" i="1"/>
  <c r="G13" i="1"/>
  <c r="J13" i="1"/>
  <c r="G14" i="1"/>
  <c r="J14" i="1"/>
  <c r="G15" i="1"/>
  <c r="J15" i="1"/>
  <c r="G16" i="1"/>
  <c r="J16" i="1"/>
  <c r="G17" i="1"/>
  <c r="I59" i="1" a="1"/>
  <c r="G60" i="1"/>
  <c r="K60" i="1" a="1"/>
  <c r="I60" i="1" a="1"/>
  <c r="G61" i="1"/>
  <c r="K61" i="1" a="1"/>
  <c r="I61" i="1" a="1"/>
  <c r="G62" i="1"/>
  <c r="K62" i="1" a="1"/>
  <c r="G63" i="1"/>
  <c r="G90" i="1"/>
  <c r="G91" i="1"/>
  <c r="K91" i="1" a="1"/>
  <c r="I91" i="1" a="1"/>
  <c r="G92" i="1"/>
  <c r="K92" i="1" a="1"/>
  <c r="I92" i="1" a="1"/>
  <c r="G93" i="1"/>
  <c r="K93" i="1" a="1"/>
  <c r="K94" i="1" a="1"/>
  <c r="G94" i="1"/>
  <c r="K95" i="1" a="1"/>
  <c r="G95" i="1"/>
  <c r="K96" i="1" a="1"/>
  <c r="G96" i="1"/>
  <c r="K97" i="1" a="1"/>
  <c r="G97" i="1"/>
  <c r="I98" i="1" a="1"/>
  <c r="K98" i="1" a="1"/>
  <c r="G98" i="1"/>
  <c r="K99" i="1" a="1"/>
  <c r="G99" i="1"/>
  <c r="K100" i="1" a="1"/>
  <c r="G100" i="1"/>
  <c r="K101" i="1" a="1"/>
  <c r="G101" i="1"/>
  <c r="K102" i="1" a="1"/>
  <c r="G102" i="1"/>
  <c r="K103" i="1" a="1"/>
  <c r="G103" i="1"/>
  <c r="G104" i="1"/>
  <c r="K104" i="1" a="1"/>
  <c r="I104" i="1" a="1"/>
  <c r="I105" i="1" a="1"/>
  <c r="G105" i="1"/>
  <c r="F4" i="1"/>
  <c r="F8" i="1"/>
  <c r="F2" i="1"/>
  <c r="F3" i="1"/>
  <c r="K2" i="1" a="1"/>
  <c r="G11" i="1" l="1"/>
  <c r="F11" i="1"/>
  <c r="G12" i="1"/>
  <c r="F12" i="1"/>
  <c r="F63" i="1"/>
  <c r="I63" i="1" a="1"/>
  <c r="K63" i="1" a="1"/>
  <c r="F64" i="1"/>
  <c r="G64" i="1"/>
  <c r="I64" i="1" a="1"/>
  <c r="K64" i="1" a="1"/>
  <c r="F65" i="1"/>
  <c r="G65" i="1"/>
  <c r="I65" i="1" a="1"/>
  <c r="K65" i="1" a="1"/>
  <c r="F66" i="1"/>
  <c r="G66" i="1"/>
  <c r="I66" i="1" s="1" a="1"/>
  <c r="K66" i="1" a="1"/>
  <c r="F67" i="1"/>
  <c r="K67" i="1" a="1"/>
  <c r="G67" i="1"/>
  <c r="I67" i="1" s="1" a="1"/>
  <c r="F68" i="1"/>
  <c r="G68" i="1"/>
  <c r="K68" i="1" a="1"/>
  <c r="F69" i="1"/>
  <c r="G69" i="1"/>
  <c r="I69" i="1" s="1" a="1"/>
  <c r="K69" i="1" a="1"/>
  <c r="F70" i="1"/>
  <c r="K70" i="1" a="1"/>
  <c r="G70" i="1"/>
  <c r="I70" i="1" s="1" a="1"/>
  <c r="F71" i="1"/>
  <c r="G71" i="1"/>
  <c r="I71" i="1" a="1"/>
  <c r="K71" i="1" a="1"/>
  <c r="F72" i="1"/>
  <c r="G72" i="1"/>
  <c r="K72" i="1" a="1"/>
  <c r="I72" i="1" a="1"/>
  <c r="F73" i="1"/>
  <c r="K73" i="1" a="1"/>
  <c r="G73" i="1"/>
  <c r="I73" i="1" s="1" a="1"/>
  <c r="F74" i="1"/>
  <c r="G74" i="1"/>
  <c r="I74" i="1" s="1" a="1"/>
  <c r="K74" i="1" a="1"/>
  <c r="F75" i="1"/>
  <c r="G75" i="1"/>
  <c r="I75" i="1" s="1" a="1"/>
  <c r="K75" i="1" a="1"/>
  <c r="F76" i="1"/>
  <c r="G76" i="1"/>
  <c r="I76" i="1" s="1" a="1"/>
  <c r="K76" i="1" a="1"/>
  <c r="F77" i="1"/>
  <c r="G77" i="1"/>
  <c r="I77" i="1" s="1" a="1"/>
  <c r="K77" i="1" a="1"/>
  <c r="F78" i="1"/>
  <c r="K78" i="1" a="1"/>
  <c r="I78" i="1" a="1"/>
  <c r="G78" i="1"/>
  <c r="F79" i="1"/>
  <c r="K79" i="1" a="1"/>
  <c r="G79" i="1"/>
  <c r="F80" i="1"/>
  <c r="K80" i="1" a="1"/>
  <c r="G80" i="1"/>
  <c r="F81" i="1"/>
  <c r="G81" i="1"/>
  <c r="K81" i="1" a="1"/>
  <c r="F82" i="1"/>
  <c r="K82" i="1" a="1"/>
  <c r="G82" i="1"/>
  <c r="F83" i="1"/>
  <c r="G83" i="1"/>
  <c r="K83" i="1" a="1"/>
  <c r="F84" i="1"/>
  <c r="I84" i="1" a="1"/>
  <c r="G84" i="1"/>
  <c r="K84" i="1" a="1"/>
  <c r="F85" i="1"/>
  <c r="K85" i="1" a="1"/>
  <c r="I85" i="1" a="1"/>
  <c r="G85" i="1"/>
  <c r="F86" i="1"/>
  <c r="K86" i="1" a="1"/>
  <c r="G86" i="1"/>
  <c r="F87" i="1"/>
  <c r="K87" i="1" a="1"/>
  <c r="G87" i="1"/>
  <c r="F88" i="1"/>
  <c r="K88" i="1" a="1"/>
  <c r="G88" i="1"/>
  <c r="F89" i="1"/>
  <c r="K89" i="1" a="1"/>
  <c r="G89" i="1"/>
  <c r="F106" i="1"/>
  <c r="J106" i="1"/>
  <c r="F103" i="1"/>
  <c r="I103" i="1" s="1" a="1"/>
  <c r="J103" i="1"/>
  <c r="K105" i="1" a="1"/>
  <c r="F105" i="1"/>
  <c r="J107" i="1"/>
  <c r="F107" i="1"/>
  <c r="J108" i="1"/>
  <c r="F108" i="1"/>
  <c r="J109" i="1"/>
  <c r="F109" i="1"/>
  <c r="J110" i="1"/>
  <c r="F110" i="1"/>
  <c r="J113" i="1"/>
  <c r="F113" i="1"/>
  <c r="J114" i="1"/>
  <c r="F114" i="1"/>
  <c r="J115" i="1"/>
  <c r="F115" i="1"/>
  <c r="J116" i="1"/>
  <c r="F116" i="1"/>
  <c r="J2" i="1"/>
  <c r="G2" i="1"/>
  <c r="I2" i="1" s="1" a="1"/>
  <c r="G3" i="1"/>
  <c r="I3" i="1" s="1" a="1"/>
  <c r="K3" i="1" a="1"/>
  <c r="J3" i="1"/>
  <c r="K4" i="1" a="1"/>
  <c r="I4" i="1" a="1"/>
  <c r="G4" i="1"/>
  <c r="G5" i="1"/>
  <c r="I5" i="1" a="1"/>
  <c r="K5" i="1" a="1"/>
  <c r="K6" i="1" a="1"/>
  <c r="I6" i="1" a="1"/>
  <c r="I7" i="1" a="1"/>
  <c r="K7" i="1" a="1"/>
  <c r="G7" i="1"/>
  <c r="K8" i="1" a="1"/>
  <c r="I8" i="1" a="1"/>
  <c r="G8" i="1"/>
  <c r="K9" i="1" a="1"/>
  <c r="I9" i="1" a="1"/>
  <c r="I10" i="1" a="1"/>
  <c r="K10" i="1" a="1"/>
  <c r="G10" i="1"/>
  <c r="K11" i="1" a="1"/>
  <c r="I11" i="1" a="1"/>
  <c r="I12" i="1" a="1"/>
  <c r="K12" i="1" a="1"/>
  <c r="I13" i="1" a="1"/>
  <c r="K13" i="1" a="1"/>
  <c r="I14" i="1" a="1"/>
  <c r="K14" i="1" a="1"/>
  <c r="I15" i="1" a="1"/>
  <c r="K15" i="1" a="1"/>
  <c r="K16" i="1" a="1"/>
  <c r="I16" i="1" a="1"/>
  <c r="J17" i="1"/>
  <c r="I17" i="1" a="1"/>
  <c r="K17" i="1" a="1"/>
  <c r="K18" i="1" a="1"/>
  <c r="G18" i="1"/>
  <c r="I18" i="1" a="1"/>
  <c r="K19" i="1" a="1"/>
  <c r="G19" i="1"/>
  <c r="I19" i="1" a="1"/>
  <c r="K20" i="1" a="1"/>
  <c r="G20" i="1"/>
  <c r="I20" i="1" s="1" a="1"/>
  <c r="J20" i="1"/>
  <c r="K21" i="1" a="1"/>
  <c r="G21" i="1"/>
  <c r="I21" i="1" a="1"/>
  <c r="K22" i="1" a="1"/>
  <c r="G22" i="1"/>
  <c r="I22" i="1" s="1" a="1"/>
  <c r="J22" i="1"/>
  <c r="K23" i="1" a="1"/>
  <c r="J23" i="1"/>
  <c r="G23" i="1"/>
  <c r="I23" i="1" s="1" a="1"/>
  <c r="G24" i="1"/>
  <c r="K24" i="1" a="1"/>
  <c r="I24" i="1" a="1"/>
  <c r="I25" i="1" a="1"/>
  <c r="G25" i="1"/>
  <c r="K25" i="1" a="1"/>
  <c r="K26" i="1" a="1"/>
  <c r="G26" i="1"/>
  <c r="J26" i="1"/>
  <c r="I26" i="1" a="1"/>
  <c r="J27" i="1"/>
  <c r="G27" i="1"/>
  <c r="K27" i="1" a="1"/>
  <c r="I27" i="1" a="1"/>
  <c r="G28" i="1"/>
  <c r="I28" i="1" s="1" a="1"/>
  <c r="J28" i="1"/>
  <c r="K28" i="1" a="1"/>
  <c r="J29" i="1"/>
  <c r="K29" i="1" a="1"/>
  <c r="G29" i="1"/>
  <c r="I29" i="1" s="1" a="1"/>
  <c r="J30" i="1"/>
  <c r="G30" i="1"/>
  <c r="K30" i="1" a="1"/>
  <c r="I30" i="1" a="1"/>
  <c r="K31" i="1" a="1"/>
  <c r="G31" i="1"/>
  <c r="I31" i="1" a="1"/>
  <c r="I32" i="1" a="1"/>
  <c r="G32" i="1"/>
  <c r="K32" i="1" a="1"/>
  <c r="J33" i="1"/>
  <c r="G33" i="1"/>
  <c r="K33" i="1" a="1"/>
  <c r="I33" i="1" a="1"/>
  <c r="J34" i="1"/>
  <c r="G34" i="1"/>
  <c r="I34" i="1" a="1"/>
  <c r="K34" i="1" a="1"/>
  <c r="K35" i="1" a="1"/>
  <c r="J35" i="1"/>
  <c r="G35" i="1"/>
  <c r="I35" i="1" s="1" a="1"/>
  <c r="J36" i="1"/>
  <c r="G36" i="1"/>
  <c r="I36" i="1" s="1" a="1"/>
  <c r="K37" i="1" a="1"/>
  <c r="G37" i="1"/>
  <c r="I37" i="1" a="1"/>
  <c r="J37" i="1"/>
  <c r="G38" i="1"/>
  <c r="K38" i="1" a="1"/>
  <c r="I38" i="1" a="1"/>
  <c r="J39" i="1"/>
  <c r="K39" i="1" a="1"/>
  <c r="G39" i="1"/>
  <c r="I39" i="1" s="1" a="1"/>
  <c r="K40" i="1" a="1"/>
  <c r="G40" i="1"/>
  <c r="I40" i="1" s="1" a="1"/>
  <c r="J40" i="1"/>
  <c r="J41" i="1"/>
  <c r="G41" i="1"/>
  <c r="I41" i="1" a="1"/>
  <c r="K41" i="1" a="1"/>
  <c r="G42" i="1"/>
  <c r="I42" i="1" a="1"/>
  <c r="K42" i="1" a="1"/>
  <c r="J42" i="1"/>
  <c r="G43" i="1"/>
  <c r="I43" i="1" a="1"/>
  <c r="K43" i="1" a="1"/>
  <c r="K44" i="1" a="1"/>
  <c r="G44" i="1"/>
  <c r="I44" i="1" a="1"/>
  <c r="K45" i="1" a="1"/>
  <c r="G45" i="1"/>
  <c r="I45" i="1" a="1"/>
  <c r="K46" i="1" a="1"/>
  <c r="G46" i="1"/>
  <c r="I46" i="1" s="1" a="1"/>
  <c r="J46" i="1"/>
  <c r="K47" i="1" a="1"/>
  <c r="G47" i="1"/>
  <c r="I47" i="1" s="1" a="1"/>
  <c r="J47" i="1"/>
  <c r="J48" i="1"/>
  <c r="K48" i="1" a="1"/>
  <c r="G48" i="1"/>
  <c r="I48" i="1" s="1" a="1"/>
  <c r="K49" i="1" a="1"/>
  <c r="J49" i="1"/>
  <c r="G49" i="1"/>
  <c r="I49" i="1" s="1" a="1"/>
  <c r="J50" i="1"/>
  <c r="K50" i="1" a="1"/>
  <c r="G50" i="1"/>
  <c r="I50" i="1" s="1" a="1"/>
  <c r="K51" i="1" a="1"/>
  <c r="I51" i="1" a="1"/>
  <c r="G51" i="1"/>
  <c r="K52" i="1" a="1"/>
  <c r="I52" i="1" a="1"/>
  <c r="G52" i="1"/>
  <c r="G53" i="1"/>
  <c r="I53" i="1" a="1"/>
  <c r="K53" i="1" a="1"/>
  <c r="J53" i="1"/>
  <c r="J54" i="1"/>
  <c r="G54" i="1"/>
  <c r="K54" i="1" a="1"/>
  <c r="I54" i="1" a="1"/>
  <c r="J55" i="1"/>
  <c r="K55" i="1" a="1"/>
  <c r="G55" i="1"/>
  <c r="I55" i="1" a="1"/>
  <c r="J56" i="1"/>
  <c r="K56" i="1" a="1"/>
  <c r="G56" i="1"/>
  <c r="I56" i="1" s="1" a="1"/>
  <c r="J57" i="1"/>
  <c r="K57" i="1" a="1"/>
  <c r="G57" i="1"/>
  <c r="I57" i="1" a="1"/>
  <c r="I58" i="1" a="1"/>
  <c r="G58" i="1"/>
  <c r="K58" i="1" a="1"/>
  <c r="G59" i="1"/>
  <c r="K59" i="1" a="1"/>
  <c r="J62" i="1"/>
  <c r="I62" i="1" a="1"/>
  <c r="J66" i="1"/>
  <c r="J67" i="1"/>
  <c r="J68" i="1"/>
  <c r="J69" i="1"/>
  <c r="J70" i="1"/>
  <c r="J73" i="1"/>
  <c r="J74" i="1"/>
  <c r="J75" i="1"/>
  <c r="J76" i="1"/>
  <c r="J77" i="1"/>
  <c r="J79" i="1"/>
  <c r="I79" i="1" a="1"/>
  <c r="I80" i="1" a="1"/>
  <c r="J80" i="1"/>
  <c r="I81" i="1" a="1"/>
  <c r="J81" i="1"/>
  <c r="I82" i="1" a="1"/>
  <c r="J82" i="1"/>
  <c r="J83" i="1"/>
  <c r="I83" i="1" a="1"/>
  <c r="I86" i="1" a="1"/>
  <c r="J86" i="1"/>
  <c r="J87" i="1"/>
  <c r="I87" i="1" a="1"/>
  <c r="I88" i="1" a="1"/>
  <c r="J88" i="1"/>
  <c r="J89" i="1"/>
  <c r="I89" i="1" a="1"/>
  <c r="I90" i="1" a="1"/>
  <c r="J90" i="1"/>
  <c r="J93" i="1"/>
  <c r="I93" i="1" a="1"/>
  <c r="I94" i="1" a="1"/>
  <c r="J94" i="1"/>
  <c r="I95" i="1" a="1"/>
  <c r="J95" i="1"/>
  <c r="J96" i="1"/>
  <c r="I96" i="1" a="1"/>
  <c r="J97" i="1"/>
  <c r="I97" i="1" a="1"/>
  <c r="J99" i="1"/>
  <c r="I99" i="1" a="1"/>
  <c r="J100" i="1"/>
  <c r="I100" i="1" a="1"/>
  <c r="J101" i="1"/>
  <c r="I101" i="1" a="1"/>
  <c r="J102" i="1"/>
  <c r="I102" i="1" a="1"/>
  <c r="K106" i="1" a="1"/>
  <c r="G106" i="1"/>
  <c r="K107" i="1" a="1"/>
  <c r="G107" i="1"/>
  <c r="G108" i="1"/>
  <c r="K108" i="1" a="1"/>
  <c r="K109" i="1" a="1"/>
  <c r="G109" i="1"/>
  <c r="G110" i="1"/>
  <c r="K110" i="1" a="1"/>
  <c r="G111" i="1"/>
  <c r="I111" i="1" a="1"/>
  <c r="K111" i="1" a="1"/>
  <c r="I112" i="1" a="1"/>
  <c r="K112" i="1" a="1"/>
  <c r="G112" i="1"/>
  <c r="K113" i="1" a="1"/>
  <c r="G113" i="1"/>
  <c r="K114" i="1" a="1"/>
  <c r="G114" i="1"/>
  <c r="K115" i="1" a="1"/>
  <c r="G115" i="1"/>
  <c r="G116" i="1"/>
  <c r="K116" i="1" a="1"/>
  <c r="C8" i="1" a="1"/>
  <c r="C9" i="1" a="1"/>
  <c r="C39" i="1" a="1"/>
  <c r="C40" i="1" a="1"/>
  <c r="C41" i="1" a="1"/>
  <c r="C42" i="1" a="1"/>
  <c r="C43" i="1" a="1"/>
  <c r="C44" i="1" a="1"/>
  <c r="C45" i="1" a="1"/>
  <c r="C46" i="1" a="1"/>
  <c r="C47" i="1" a="1"/>
  <c r="C2" i="1" a="1"/>
  <c r="C7" i="1" a="1"/>
  <c r="I68" i="1" l="1" a="1"/>
  <c r="I113" i="1" a="1"/>
  <c r="I114" i="1" a="1"/>
  <c r="I115" i="1" a="1"/>
  <c r="I116" i="1" a="1"/>
  <c r="I106" i="1" a="1"/>
  <c r="I109" i="1" a="1"/>
  <c r="I110" i="1" a="1"/>
  <c r="I107" i="1" a="1"/>
  <c r="I108" i="1" a="1"/>
  <c r="B7" i="7" a="1"/>
  <c r="D13" i="7" l="1"/>
  <c r="D9" i="7"/>
  <c r="E36" i="7"/>
  <c r="E35" i="7"/>
  <c r="E29" i="7"/>
  <c r="E25" i="7"/>
  <c r="E21" i="7"/>
  <c r="E18" i="7"/>
  <c r="E16" i="7"/>
  <c r="E13" i="7"/>
  <c r="E11" i="7"/>
  <c r="E9" i="7"/>
  <c r="D32" i="7"/>
  <c r="D27" i="7"/>
  <c r="D22" i="7"/>
  <c r="D19" i="7"/>
  <c r="D15" i="7"/>
  <c r="D10" i="7"/>
  <c r="E34" i="7"/>
  <c r="D31" i="7"/>
  <c r="D36" i="7"/>
  <c r="D33" i="7"/>
  <c r="D28" i="7"/>
  <c r="D25" i="7"/>
  <c r="D21" i="7"/>
  <c r="D16" i="7"/>
  <c r="E32" i="7"/>
  <c r="E28" i="7"/>
  <c r="E26" i="7"/>
  <c r="E22" i="7"/>
  <c r="E19" i="7"/>
  <c r="E15" i="7"/>
  <c r="E12" i="7"/>
  <c r="E8" i="7"/>
  <c r="D37" i="7"/>
  <c r="E37" i="7"/>
  <c r="D29" i="7"/>
  <c r="D17" i="7"/>
  <c r="E30" i="7"/>
  <c r="D11" i="7"/>
  <c r="E7" i="7"/>
  <c r="E33" i="7"/>
  <c r="E31" i="7"/>
  <c r="E27" i="7"/>
  <c r="E23" i="7"/>
  <c r="E20" i="7"/>
  <c r="E17" i="7"/>
  <c r="E14" i="7"/>
  <c r="D24" i="7"/>
  <c r="D12" i="7"/>
  <c r="E24" i="7"/>
  <c r="H3" i="7"/>
  <c r="D7" i="7"/>
  <c r="D34" i="7"/>
  <c r="D30" i="7"/>
  <c r="D26" i="7"/>
  <c r="D23" i="7"/>
  <c r="D18" i="7"/>
  <c r="D35" i="7"/>
  <c r="D8" i="7"/>
  <c r="E10" i="7"/>
  <c r="A7" i="7" a="1"/>
  <c r="D20" i="7"/>
  <c r="D14" i="7"/>
  <c r="G40" i="7" l="1"/>
  <c r="G39"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Work Records" description="Connection to the 'Work Records' query in the workbook." type="5" refreshedVersion="0" background="1" saveData="1">
    <dbPr connection="Provider=Microsoft.Mashup.OleDb.1;Data Source=$Workbook$;Location=&quot;Work Records&quot;;Extended Properties=&quot;&quot;" command="SELECT * FROM [Work Records]"/>
  </connection>
  <connection id="2" xr16:uid="{00000000-0015-0000-FFFF-FFFF01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000000-0015-0000-FFFF-FFFF02000000}" name="WorksheetConnection_Book (1).xlsx!Table2" type="102" refreshedVersion="8" minRefreshableVersion="5">
    <extLst>
      <ext xmlns:x15="http://schemas.microsoft.com/office/spreadsheetml/2010/11/main" uri="{DE250136-89BD-433C-8126-D09CA5730AF9}">
        <x15:connection id="Table2">
          <x15:rangePr sourceName="_xlcn.WorksheetConnection_Book1.xlsxTable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<sst xmlns="http://schemas.openxmlformats.org/spreadsheetml/2006/main" count="145" uniqueCount="71">
  <si>
    <t>Shift</t>
  </si>
  <si>
    <t>Start Time</t>
  </si>
  <si>
    <t>End Time</t>
  </si>
  <si>
    <t>Daily Pay</t>
  </si>
  <si>
    <t>Overtime Pay</t>
  </si>
  <si>
    <t>No</t>
  </si>
  <si>
    <t>OFF</t>
  </si>
  <si>
    <t>Payroll Month</t>
  </si>
  <si>
    <t>SICK</t>
  </si>
  <si>
    <t>January</t>
  </si>
  <si>
    <t>February</t>
  </si>
  <si>
    <t>Full Date</t>
  </si>
  <si>
    <t>Row Labels</t>
  </si>
  <si>
    <t>Grand Total</t>
  </si>
  <si>
    <t>2025</t>
  </si>
  <si>
    <t>2026</t>
  </si>
  <si>
    <t>Jan</t>
  </si>
  <si>
    <t>Feb</t>
  </si>
  <si>
    <t>Mar</t>
  </si>
  <si>
    <t>Nov</t>
  </si>
  <si>
    <t>Dec</t>
  </si>
  <si>
    <t>Count of Shift</t>
  </si>
  <si>
    <t>Total Working Days</t>
  </si>
  <si>
    <t>Calender Days</t>
  </si>
  <si>
    <t>Total Daily Pay</t>
  </si>
  <si>
    <t>Gross Salary</t>
  </si>
  <si>
    <t>Net Salary</t>
  </si>
  <si>
    <t>Total OFF</t>
  </si>
  <si>
    <t>Payroll Year</t>
  </si>
  <si>
    <t>Sum of Net Salary</t>
  </si>
  <si>
    <t>ATTENDED</t>
  </si>
  <si>
    <t>Notes</t>
  </si>
  <si>
    <t>Count of Notes</t>
  </si>
  <si>
    <t>Average of Shift</t>
  </si>
  <si>
    <t>Year</t>
  </si>
  <si>
    <t>Type</t>
  </si>
  <si>
    <t>Hour</t>
  </si>
  <si>
    <t>Holiday Overtime</t>
  </si>
  <si>
    <t>Work Hour</t>
  </si>
  <si>
    <t>Normal Day Overtime</t>
  </si>
  <si>
    <t>Overtime Hour</t>
  </si>
  <si>
    <t>Overtime Break</t>
  </si>
  <si>
    <t>HOLIDAY OVERTIME</t>
  </si>
  <si>
    <t>Break</t>
  </si>
  <si>
    <t>Sum of Overtime Pay</t>
  </si>
  <si>
    <t>Deduction</t>
  </si>
  <si>
    <t>Rate</t>
  </si>
  <si>
    <t>Payroll Periode</t>
  </si>
  <si>
    <t>Deduction Type</t>
  </si>
  <si>
    <t>BPJS On-Cycle 2025</t>
  </si>
  <si>
    <t>BPJS On-Cycle 2026</t>
  </si>
  <si>
    <t>BPJS Pre-Deduction</t>
  </si>
  <si>
    <t>Potongan BPJS setiap tanggal 20 tahun 2025</t>
  </si>
  <si>
    <t>Potongan BPJS setiap tanggal 20 tahun 2026</t>
  </si>
  <si>
    <t>Sum of Deduction</t>
  </si>
  <si>
    <t>Date</t>
  </si>
  <si>
    <t>Start Period Date</t>
  </si>
  <si>
    <t>End Period Date</t>
  </si>
  <si>
    <t>Masuk</t>
  </si>
  <si>
    <t>Periode:</t>
  </si>
  <si>
    <t>s/d</t>
  </si>
  <si>
    <t>Total</t>
  </si>
  <si>
    <t>Izin</t>
  </si>
  <si>
    <t>Time</t>
  </si>
  <si>
    <t>Shift Start Time</t>
  </si>
  <si>
    <t>ATTENDANCE RECAP</t>
  </si>
  <si>
    <t>November</t>
  </si>
  <si>
    <t>December</t>
  </si>
  <si>
    <t>Day</t>
  </si>
  <si>
    <t>In</t>
  </si>
  <si>
    <t>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</si>
</sst>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F400]h:mm:ss\ AM/PM"/>
    <numFmt numFmtId="165" formatCode="[$-13809]hh:mm;@"/>
    <numFmt numFmtId="166" formatCode="&quot;Rp&quot;#,##0.00"/>
    <numFmt numFmtId="167" formatCode="mm"/>
    <numFmt numFmtId="168" formatCode="0.0"/>
    <numFmt numFmtId="169" formatCode="[$-13809]dd/mm/yyyy;@"/>
    <numFmt numFmtId="170" formatCode="mmmm"/>
  </numFmts>
  <fonts count="6" x14ac:knownFonts="1">
    <font>
      <sz val="11"/>
      <color theme="1"/>
      <name val="Aptos Narrow"/>
      <family val="2"/>
      <scheme val="minor"/>
    </font>
    <font>
      <sz val="8"/>
      <name val="Aptos Narrow"/>
      <family val="2"/>
      <scheme val="minor"/>
    </font>
    <font>
      <b/>
      <sz val="11"/>
      <color theme="1"/>
      <name val="Aptos Narrow"/>
      <family val="2"/>
      <scheme val="minor"/>
    </font>
    <font>
      <b/>
      <sz val="11"/>
      <color theme="1"/>
      <name val="Times New Roman"/>
      <family val="1"/>
    </font>
    <font>
      <sz val="11"/>
      <color theme="1"/>
      <name val="Arial"/>
      <family val="2"/>
    </font>
    <font>
      <b/>
      <sz val="18"/>
      <color theme="1"/>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6" tint="0.39997558519241921"/>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6">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166" fontId="0" fillId="0" borderId="0" xfId="0" applyNumberFormat="1"/>
    <xf numFmtId="167" fontId="0" fillId="0" borderId="0" xfId="0" applyNumberFormat="1" applyAlignment="1">
      <alignment horizontal="center" vertical="center"/>
    </xf>
    <xf numFmtId="168"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0" xfId="0" applyFont="1" applyFill="1"/>
    <xf numFmtId="1" fontId="0" fillId="0" borderId="0" xfId="0" applyNumberFormat="1"/>
    <xf numFmtId="165" fontId="0" fillId="0" borderId="0" xfId="0" applyNumberFormat="1"/>
    <xf numFmtId="14" fontId="0" fillId="0" borderId="0" xfId="0" applyNumberFormat="1"/>
    <xf numFmtId="169"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1" xfId="0" applyBorder="1" applyAlignment="1">
      <alignment horizontal="center" vertical="center"/>
    </xf>
    <xf numFmtId="165" fontId="0" fillId="0" borderId="0" xfId="0" applyNumberFormat="1" applyAlignment="1">
      <alignment horizontal="center"/>
    </xf>
    <xf numFmtId="165" fontId="0" fillId="0" borderId="1" xfId="0" applyNumberFormat="1"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xf numFmtId="0" fontId="4" fillId="0" borderId="0" xfId="0" applyFont="1" applyAlignment="1">
      <alignment vertical="center" wrapText="1"/>
    </xf>
    <xf numFmtId="170" fontId="0" fillId="0" borderId="0" xfId="0" applyNumberFormat="1" applyAlignment="1">
      <alignment horizontal="left"/>
    </xf>
    <xf numFmtId="0" fontId="2" fillId="3" borderId="0" xfId="0" applyFont="1" applyFill="1" applyAlignment="1">
      <alignment horizontal="center"/>
    </xf>
    <xf numFmtId="1" fontId="3" fillId="3" borderId="0" xfId="0" applyNumberFormat="1" applyFont="1" applyFill="1" applyAlignment="1">
      <alignment horizontal="center"/>
    </xf>
    <xf numFmtId="0" fontId="3" fillId="3" borderId="0" xfId="0" applyFont="1" applyFill="1" applyAlignment="1">
      <alignment horizontal="center"/>
    </xf>
    <xf numFmtId="0" fontId="0" fillId="4" borderId="0" xfId="0" applyFill="1" applyAlignment="1">
      <alignment horizontal="center"/>
    </xf>
    <xf numFmtId="0" fontId="0" fillId="5" borderId="0" xfId="0" applyFill="1" applyAlignment="1">
      <alignment horizont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0" xfId="0" applyAlignment="1">
      <alignment horizontal="left"/>
    </xf>
    <xf numFmtId="0" fontId="0" fillId="0" borderId="1" xfId="0" applyBorder="1" applyAlignment="1">
      <alignment horizontal="center"/>
    </xf>
    <xf numFmtId="0" fontId="5" fillId="0" borderId="0" xfId="0" applyFon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Border="1" applyAlignment="1">
      <alignment vertical="center"/>
    </xf>
    <xf numFmtId="0" fontId="0" fillId="0" borderId="0" xfId="0" applyBorder="1"/>
    <xf numFmtId="0" fontId="0" fillId="0" borderId="0" xfId="0" applyNumberFormat="1"/>
  </cellXfs>
  <cellStyles count="1">
    <cellStyle name="Normal" xfId="0" builtinId="0"/>
  </cellStyles>
  <dxfs count="35">
    <dxf>
      <numFmt numFmtId="166" formatCode="&quot;Rp&quot;#,##0.00"/>
    </dxf>
    <dxf>
      <numFmt numFmtId="166" formatCode="&quot;Rp&quot;#,##0.00"/>
    </dxf>
    <dxf>
      <numFmt numFmtId="166" formatCode="&quot;Rp&quot;#,##0.00"/>
    </dxf>
    <dxf>
      <numFmt numFmtId="166" formatCode="&quot;Rp&quot;#,##0.00"/>
    </dxf>
    <dxf>
      <numFmt numFmtId="0" formatCode="General"/>
    </dxf>
    <dxf>
      <numFmt numFmtId="166" formatCode="&quot;Rp&quot;#,##0.00"/>
      <alignment horizontal="center" vertical="center" textRotation="0" wrapText="0" indent="0" justifyLastLine="0" shrinkToFit="0" readingOrder="0"/>
    </dxf>
    <dxf>
      <numFmt numFmtId="166" formatCode="&quot;Rp&quot;#,##0.00"/>
      <alignment horizontal="center" vertical="center" textRotation="0" wrapText="0" indent="0" justifyLastLine="0" shrinkToFit="0" readingOrder="0"/>
    </dxf>
    <dxf>
      <numFmt numFmtId="166" formatCode="&quot;Rp&quot;#,##0.00"/>
      <alignment horizontal="center" vertical="center" textRotation="0" wrapText="0" indent="0" justifyLastLine="0" shrinkToFit="0" readingOrder="0"/>
    </dxf>
    <dxf>
      <numFmt numFmtId="166" formatCode="&quot;Rp&quot;#,##0.00"/>
      <alignment horizontal="center" vertical="center" textRotation="0" wrapText="0" indent="0" justifyLastLine="0" shrinkToFit="0" readingOrder="0"/>
    </dxf>
    <dxf>
      <numFmt numFmtId="165" formatCode="[$-13809]hh:mm;@"/>
      <alignment horizontal="center" vertical="center" textRotation="0" wrapText="0" indent="0" justifyLastLine="0" shrinkToFit="0" readingOrder="0"/>
    </dxf>
    <dxf>
      <numFmt numFmtId="165" formatCode="[$-13809]hh:mm;@"/>
      <alignment horizontal="center" vertical="center" textRotation="0" wrapText="0" indent="0" justifyLastLine="0" shrinkToFit="0" readingOrder="0"/>
    </dxf>
    <dxf>
      <numFmt numFmtId="165" formatCode="[$-13809]hh:mm;@"/>
      <alignment horizontal="center" vertical="center" textRotation="0" wrapText="0" indent="0" justifyLastLine="0" shrinkToFit="0" readingOrder="0"/>
    </dxf>
    <dxf>
      <numFmt numFmtId="165" formatCode="[$-13809]hh:mm;@"/>
      <alignment horizontal="center" vertical="center" textRotation="0" wrapText="0" indent="0" justifyLastLine="0" shrinkToFit="0" readingOrder="0"/>
    </dxf>
    <dxf>
      <numFmt numFmtId="168" formatCode="0.0"/>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67" formatCode="mm"/>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quot;Rp&quot;#,##0.00"/>
    </dxf>
    <dxf>
      <numFmt numFmtId="166" formatCode="&quot;Rp&quot;#,##0.00"/>
    </dxf>
    <dxf>
      <numFmt numFmtId="0" formatCode="General"/>
    </dxf>
    <dxf>
      <numFmt numFmtId="165" formatCode="[$-13809]hh:mm;@"/>
    </dxf>
    <dxf>
      <numFmt numFmtId="165" formatCode="[$-13809]hh:mm;@"/>
    </dxf>
    <dxf>
      <numFmt numFmtId="19" formatCode="dd/mm/yyyy"/>
      <alignment horizontal="center" vertical="center" textRotation="0" wrapText="0" indent="0" justifyLastLine="0" shrinkToFit="0" readingOrder="0"/>
    </dxf>
    <dxf>
      <numFmt numFmtId="165" formatCode="[$-13809]hh:mm;@"/>
    </dxf>
    <dxf>
      <numFmt numFmtId="166" formatCode="&quot;Rp&quot;#,##0.00"/>
    </dxf>
    <dxf>
      <numFmt numFmtId="165" formatCode="[$-13809]hh:mm;@"/>
    </dxf>
    <dxf>
      <numFmt numFmtId="166" formatCode="&quot;Rp&quot;#,##0.00"/>
    </dxf>
    <dxf>
      <numFmt numFmtId="165" formatCode="[$-13809]hh:mm;@"/>
    </dxf>
    <dxf>
      <numFmt numFmtId="166" formatCode="&quot;Rp&quot;#,##0.00"/>
    </dxf>
    <dxf>
      <numFmt numFmtId="1" formatCode="0"/>
    </dxf>
    <dxf>
      <font>
        <sz val="10"/>
        <color theme="0"/>
      </font>
      <border>
        <bottom style="thin">
          <color theme="4"/>
        </bottom>
        <vertical/>
        <horizontal/>
      </border>
    </dxf>
    <dxf>
      <font>
        <b/>
        <i val="0"/>
        <u val="none"/>
        <color theme="0"/>
        <name val="Montserrat"/>
        <family val="3"/>
      </font>
      <fill>
        <patternFill>
          <bgColor theme="4"/>
        </patternFill>
      </fill>
      <border diagonalUp="0" diagonalDown="0">
        <left/>
        <right/>
        <top/>
        <bottom/>
        <vertical/>
        <horizontal/>
      </border>
    </dxf>
  </dxfs>
  <tableStyles count="1" defaultTableStyle="TableStyleMedium2" defaultPivotStyle="PivotStyleLight16">
    <tableStyle name="Custom Style 1" pivot="0" table="0" count="10" xr9:uid="{B65461AD-C2F3-44C7-9A54-1037F62CAA3A}">
      <tableStyleElement type="wholeTable" dxfId="34"/>
      <tableStyleElement type="headerRow" dxfId="3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3"/>
            <name val="Montserrat"/>
            <family val="3"/>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ustom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 Worker Records with Seed.xlsx]Pivot Table!PivotTable14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Salary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176927-0F1B-4A3E-A367-E6A1E8887355}" type="CELLRANGE">
                  <a:rPr lang="en-US"/>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C654D09-121D-4126-A981-9DD4FF5DA42D}"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0A2788A-F69B-4938-AEAB-6E57B2CCB256}"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A6E5AF-EBFA-44C4-9866-A8B972435862}"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lineChart>
        <c:grouping val="standard"/>
        <c:varyColors val="0"/>
        <c:ser>
          <c:idx val="0"/>
          <c:order val="0"/>
          <c:tx>
            <c:strRef>
              <c:f>'Pivot Table'!$H$8:$H$19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D28-425B-AE69-33DBF7655C1A}"/>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D28-425B-AE69-33DBF7655C1A}"/>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0D28-425B-AE69-33DBF7655C1A}"/>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0D28-425B-AE69-33DBF7655C1A}"/>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0D28-425B-AE69-33DBF7655C1A}"/>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D-0D28-425B-AE69-33DBF7655C1A}"/>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8-0D28-425B-AE69-33DBF7655C1A}"/>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0D28-425B-AE69-33DBF7655C1A}"/>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A-0D28-425B-AE69-33DBF7655C1A}"/>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F-0D28-425B-AE69-33DBF7655C1A}"/>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20-0D28-425B-AE69-33DBF7655C1A}"/>
              </c:ext>
            </c:extLst>
          </c:dPt>
          <c:dLbls>
            <c:dLbl>
              <c:idx val="0"/>
              <c:tx>
                <c:rich>
                  <a:bodyPr/>
                  <a:lstStyle/>
                  <a:p>
                    <a:fld id="{E0176927-0F1B-4A3E-A367-E6A1E8887355}"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D28-425B-AE69-33DBF7655C1A}"/>
                </c:ext>
              </c:extLst>
            </c:dLbl>
            <c:dLbl>
              <c:idx val="1"/>
              <c:tx>
                <c:rich>
                  <a:bodyPr/>
                  <a:lstStyle/>
                  <a:p>
                    <a:fld id="{BC654D09-121D-4126-A981-9DD4FF5DA42D}"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D28-425B-AE69-33DBF7655C1A}"/>
                </c:ext>
              </c:extLst>
            </c:dLbl>
            <c:dLbl>
              <c:idx val="2"/>
              <c:tx>
                <c:rich>
                  <a:bodyPr/>
                  <a:lstStyle/>
                  <a:p>
                    <a:fld id="{F0A2788A-F69B-4938-AEAB-6E57B2CCB25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D28-425B-AE69-33DBF7655C1A}"/>
                </c:ext>
              </c:extLst>
            </c:dLbl>
            <c:dLbl>
              <c:idx val="3"/>
              <c:tx>
                <c:rich>
                  <a:bodyPr/>
                  <a:lstStyle/>
                  <a:p>
                    <a:fld id="{34A6E5AF-EBFA-44C4-9866-A8B972435862}"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D28-425B-AE69-33DBF7655C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ln>
              <a:effectLst/>
            </c:spPr>
            <c:trendlineType val="linear"/>
            <c:dispRSqr val="0"/>
            <c:dispEq val="0"/>
          </c:trendline>
          <c:cat>
            <c:strRef>
              <c:f>'Pivot Table'!$H$8:$H$19</c:f>
              <c:strCache>
                <c:ptCount val="4"/>
                <c:pt idx="0">
                  <c:v>January</c:v>
                </c:pt>
                <c:pt idx="1">
                  <c:v>February</c:v>
                </c:pt>
                <c:pt idx="2">
                  <c:v>November</c:v>
                </c:pt>
                <c:pt idx="3">
                  <c:v>December</c:v>
                </c:pt>
              </c:strCache>
            </c:strRef>
          </c:cat>
          <c:val>
            <c:numRef>
              <c:f>'Pivot Table'!$H$8:$H$19</c:f>
              <c:numCache>
                <c:formatCode>"Rp"#,##0.00</c:formatCode>
                <c:ptCount val="4"/>
                <c:pt idx="0">
                  <c:v>2910727</c:v>
                </c:pt>
                <c:pt idx="1">
                  <c:v>2405520</c:v>
                </c:pt>
                <c:pt idx="2">
                  <c:v>1870085</c:v>
                </c:pt>
                <c:pt idx="3">
                  <c:v>2090095</c:v>
                </c:pt>
              </c:numCache>
            </c:numRef>
          </c:val>
          <c:smooth val="0"/>
          <c:extLst>
            <c:ext xmlns:c15="http://schemas.microsoft.com/office/drawing/2012/chart" uri="{02D57815-91ED-43cb-92C2-25804820EDAC}">
              <c15:datalabelsRange>
                <c15:f>'Pivot Table'!$H$8:$H$19</c15:f>
                <c15:dlblRangeCache>
                  <c:ptCount val="12"/>
                </c15:dlblRangeCache>
              </c15:datalabelsRange>
            </c:ext>
            <c:ext xmlns:c16="http://schemas.microsoft.com/office/drawing/2014/chart" uri="{C3380CC4-5D6E-409C-BE32-E72D297353CC}">
              <c16:uniqueId val="{00000000-0D28-425B-AE69-33DBF7655C1A}"/>
            </c:ext>
          </c:extLst>
        </c:ser>
        <c:dLbls>
          <c:showLegendKey val="0"/>
          <c:showVal val="1"/>
          <c:showCatName val="0"/>
          <c:showSerName val="0"/>
          <c:showPercent val="0"/>
          <c:showBubbleSize val="0"/>
        </c:dLbls>
        <c:marker val="1"/>
        <c:smooth val="0"/>
        <c:axId val="661481920"/>
        <c:axId val="751710416"/>
      </c:lineChart>
      <c:catAx>
        <c:axId val="661481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710416"/>
        <c:crosses val="autoZero"/>
        <c:auto val="1"/>
        <c:lblAlgn val="ctr"/>
        <c:lblOffset val="100"/>
        <c:noMultiLvlLbl val="0"/>
      </c:catAx>
      <c:valAx>
        <c:axId val="751710416"/>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48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[Daily Worker Records with Seed.xlsx]Pivot Table!PivotTable15</c:name>
    <c:fmtId val="3"/>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ontserrat" panose="00000800000000000000" pitchFamily="50" charset="0"/>
                <a:ea typeface="+mn-ea"/>
                <a:cs typeface="+mn-cs"/>
              </a:defRPr>
            </a:pPr>
            <a:r>
              <a:rPr lang="en-US" sz="1200">
                <a:latin typeface="Montserrat" panose="00000800000000000000" pitchFamily="50" charset="0"/>
              </a:rPr>
              <a:t>Attendance Distribution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ontserrat" panose="00000800000000000000" pitchFamily="50" charset="0"/>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tint val="65000"/>
            </a:schemeClr>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hade val="65000"/>
            </a:schemeClr>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tint val="65000"/>
            </a:schemeClr>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hade val="65000"/>
            </a:schemeClr>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tint val="65000"/>
            </a:schemeClr>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hade val="65000"/>
            </a:schemeClr>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tint val="65000"/>
            </a:schemeClr>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hade val="65000"/>
            </a:schemeClr>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tint val="65000"/>
            </a:schemeClr>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hade val="65000"/>
            </a:schemeClr>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tint val="65000"/>
            </a:schemeClr>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shade val="65000"/>
            </a:schemeClr>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tint val="65000"/>
            </a:schemeClr>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accent1">
              <a:shade val="65000"/>
            </a:schemeClr>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tint val="65000"/>
            </a:schemeClr>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9"/>
        <c:spPr>
          <a:solidFill>
            <a:schemeClr val="accent1">
              <a:shade val="65000"/>
            </a:schemeClr>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tint val="65000"/>
            </a:schemeClr>
          </a:solidFill>
          <a:ln>
            <a:noFill/>
          </a:ln>
          <a:effectLst>
            <a:outerShdw blurRad="254000" sx="102000" sy="102000" algn="ctr" rotWithShape="0">
              <a:prstClr val="black">
                <a:alpha val="20000"/>
              </a:prstClr>
            </a:outerShdw>
          </a:effectLst>
          <a:sp3d/>
        </c:spPr>
      </c:pivotFmt>
      <c:pivotFmt>
        <c:idx val="42"/>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1">
              <a:shade val="65000"/>
            </a:schemeClr>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
        <c:idx val="45"/>
        <c:spPr>
          <a:solidFill>
            <a:schemeClr val="accent1">
              <a:tint val="65000"/>
            </a:schemeClr>
          </a:solidFill>
          <a:ln>
            <a:noFill/>
          </a:ln>
          <a:effectLst>
            <a:outerShdw blurRad="254000" sx="102000" sy="102000" algn="ctr" rotWithShape="0">
              <a:prstClr val="black">
                <a:alpha val="20000"/>
              </a:prstClr>
            </a:outerShdw>
          </a:effectLst>
          <a:sp3d/>
        </c:spPr>
      </c:pivotFmt>
      <c:pivotFmt>
        <c:idx val="46"/>
        <c:spPr>
          <a:solidFill>
            <a:schemeClr val="accent1">
              <a:tint val="77000"/>
            </a:schemeClr>
          </a:solidFill>
          <a:ln>
            <a:noFill/>
          </a:ln>
          <a:effectLst>
            <a:outerShdw blurRad="254000" sx="102000" sy="102000" algn="ctr" rotWithShape="0">
              <a:prstClr val="black">
                <a:alpha val="20000"/>
              </a:prstClr>
            </a:outerShdw>
          </a:effectLst>
          <a:sp3d/>
        </c:spPr>
      </c:pivotFmt>
      <c:pivotFmt>
        <c:idx val="47"/>
        <c:spPr>
          <a:solidFill>
            <a:schemeClr val="accent1">
              <a:tint val="54000"/>
            </a:schemeClr>
          </a:solidFill>
          <a:ln>
            <a:noFill/>
          </a:ln>
          <a:effectLst>
            <a:outerShdw blurRad="254000" sx="102000" sy="102000" algn="ctr" rotWithShape="0">
              <a:prstClr val="black">
                <a:alpha val="20000"/>
              </a:prstClr>
            </a:outerShdw>
          </a:effectLst>
          <a:sp3d/>
        </c:spPr>
      </c:pivotFmt>
      <c:pivotFmt>
        <c:idx val="48"/>
        <c:spPr>
          <a:solidFill>
            <a:schemeClr val="accent1">
              <a:tint val="65000"/>
            </a:schemeClr>
          </a:solidFill>
          <a:ln>
            <a:noFill/>
          </a:ln>
          <a:effectLst>
            <a:outerShdw blurRad="254000" sx="102000" sy="102000" algn="ctr" rotWithShape="0">
              <a:prstClr val="black">
                <a:alpha val="20000"/>
              </a:prstClr>
            </a:outerShdw>
          </a:effectLst>
          <a:sp3d/>
        </c:spPr>
      </c:pivotFmt>
      <c:pivotFmt>
        <c:idx val="49"/>
        <c:spPr>
          <a:solidFill>
            <a:schemeClr val="accent1">
              <a:tint val="65000"/>
            </a:schemeClr>
          </a:solidFill>
          <a:ln>
            <a:noFill/>
          </a:ln>
          <a:effectLst>
            <a:outerShdw blurRad="254000" sx="102000" sy="102000" algn="ctr" rotWithShape="0">
              <a:prstClr val="black">
                <a:alpha val="20000"/>
              </a:prstClr>
            </a:outerShdw>
          </a:effectLst>
          <a:sp3d/>
        </c:spPr>
      </c:pivotFmt>
    </c:pivotFmts>
    <c:view3D>
      <c:rotX val="50"/>
      <c:rotY val="24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Table'!$K$1</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A-8DBF-4F79-9093-15C1BD4EC1AC}"/>
              </c:ext>
            </c:extLst>
          </c:dPt>
          <c:dPt>
            <c:idx val="1"/>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C-8DBF-4F79-9093-15C1BD4EC1AC}"/>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E-8DBF-4F79-9093-15C1BD4EC1AC}"/>
              </c:ext>
            </c:extLst>
          </c:dPt>
          <c:dPt>
            <c:idx val="3"/>
            <c:bubble3D val="0"/>
            <c:spPr>
              <a:solidFill>
                <a:schemeClr val="accent1">
                  <a:tint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C77-4061-BC19-4C76D2499351}"/>
              </c:ext>
            </c:extLst>
          </c:dPt>
          <c:dPt>
            <c:idx val="4"/>
            <c:bubble3D val="0"/>
            <c:spPr>
              <a:solidFill>
                <a:schemeClr val="accent1">
                  <a:tint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C77-4061-BC19-4C76D2499351}"/>
              </c:ext>
            </c:extLst>
          </c:dPt>
          <c:dLbls>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Table'!$J$2:$J$6</c:f>
              <c:strCache>
                <c:ptCount val="4"/>
                <c:pt idx="0">
                  <c:v>ATTENDED</c:v>
                </c:pt>
                <c:pt idx="1">
                  <c:v>OFF</c:v>
                </c:pt>
                <c:pt idx="2">
                  <c:v>SICK</c:v>
                </c:pt>
                <c:pt idx="3">
                  <c:v>HOLIDAY OVERTIME</c:v>
                </c:pt>
              </c:strCache>
            </c:strRef>
          </c:cat>
          <c:val>
            <c:numRef>
              <c:f>'Pivot Table'!$K$2:$K$6</c:f>
              <c:numCache>
                <c:formatCode>General</c:formatCode>
                <c:ptCount val="4"/>
                <c:pt idx="0">
                  <c:v>74</c:v>
                </c:pt>
                <c:pt idx="1">
                  <c:v>37</c:v>
                </c:pt>
                <c:pt idx="2">
                  <c:v>2</c:v>
                </c:pt>
                <c:pt idx="3">
                  <c:v>2</c:v>
                </c:pt>
              </c:numCache>
            </c:numRef>
          </c:val>
          <c:extLst>
            <c:ext xmlns:c16="http://schemas.microsoft.com/office/drawing/2014/chart" uri="{C3380CC4-5D6E-409C-BE32-E72D297353CC}">
              <c16:uniqueId val="{0000001F-8DBF-4F79-9093-15C1BD4EC1AC}"/>
            </c:ext>
          </c:extLst>
        </c:ser>
        <c:dLbls>
          <c:showLegendKey val="0"/>
          <c:showVal val="0"/>
          <c:showCatName val="0"/>
          <c:showSerName val="0"/>
          <c:showPercent val="1"/>
          <c:showBubbleSize val="0"/>
          <c:showLeaderLines val="1"/>
        </c:dLbls>
      </c:pie3D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[Daily Worker Records with Seed.xlsx]Pivot Table!PivotTable23</c:name>
    <c:fmtId val="6"/>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ontserrat" panose="00000800000000000000" pitchFamily="50" charset="0"/>
                <a:ea typeface="+mn-ea"/>
                <a:cs typeface="+mn-cs"/>
              </a:defRPr>
            </a:pPr>
            <a:r>
              <a:rPr lang="en-ID" sz="1200">
                <a:latin typeface="Montserrat" panose="00000800000000000000" pitchFamily="50" charset="0"/>
              </a:rPr>
              <a:t>Deduction Distribution</a:t>
            </a:r>
          </a:p>
        </c:rich>
      </c:tx>
      <c:layout>
        <c:manualLayout>
          <c:xMode val="edge"/>
          <c:yMode val="edge"/>
          <c:x val="0.28368692877736634"/>
          <c:y val="4.488195515691897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ontserrat" panose="00000800000000000000" pitchFamily="50"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outerShdw blurRad="254000" sx="102000" sy="102000" algn="ctr" rotWithShape="0">
              <a:prstClr val="black">
                <a:alpha val="20000"/>
              </a:prstClr>
            </a:outerShdw>
          </a:effectLst>
          <a:sp3d/>
        </c:spPr>
      </c:pivotFmt>
      <c:pivotFmt>
        <c:idx val="6"/>
        <c:spPr>
          <a:solidFill>
            <a:schemeClr val="accent1">
              <a:tint val="77000"/>
            </a:schemeClr>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hade val="76000"/>
            </a:schemeClr>
          </a:solidFill>
          <a:ln>
            <a:noFill/>
          </a:ln>
          <a:effectLst>
            <a:outerShdw blurRad="254000" sx="102000" sy="102000" algn="ctr" rotWithShape="0">
              <a:prstClr val="black">
                <a:alpha val="20000"/>
              </a:prstClr>
            </a:outerShdw>
          </a:effectLst>
          <a:sp3d/>
        </c:spPr>
      </c:pivotFmt>
      <c:pivotFmt>
        <c:idx val="11"/>
        <c:spPr>
          <a:solidFill>
            <a:schemeClr val="accent1">
              <a:tint val="77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Table'!$F$22</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33B-4408-85B6-3F2E14148847}"/>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33B-4408-85B6-3F2E14148847}"/>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a:sp3d/>
            </c:spPr>
          </c:dPt>
          <c:dLbls>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Table'!$E$23:$E$26</c:f>
              <c:strCache>
                <c:ptCount val="3"/>
                <c:pt idx="0">
                  <c:v>BPJS On-Cycle 2025</c:v>
                </c:pt>
                <c:pt idx="1">
                  <c:v>BPJS On-Cycle 2026</c:v>
                </c:pt>
                <c:pt idx="2">
                  <c:v>BPJS Pre-Deduction</c:v>
                </c:pt>
              </c:strCache>
            </c:strRef>
          </c:cat>
          <c:val>
            <c:numRef>
              <c:f>'Pivot Table'!$F$23:$F$26</c:f>
              <c:numCache>
                <c:formatCode>"Rp"#,##0.00</c:formatCode>
                <c:ptCount val="3"/>
                <c:pt idx="0">
                  <c:v>-220010</c:v>
                </c:pt>
                <c:pt idx="1">
                  <c:v>-117640</c:v>
                </c:pt>
                <c:pt idx="2">
                  <c:v>-117640</c:v>
                </c:pt>
              </c:numCache>
            </c:numRef>
          </c:val>
          <c:extLst>
            <c:ext xmlns:c16="http://schemas.microsoft.com/office/drawing/2014/chart" uri="{C3380CC4-5D6E-409C-BE32-E72D297353CC}">
              <c16:uniqueId val="{00000003-067A-40A0-99D5-3BF29E3335EE}"/>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8874</xdr:rowOff>
    </xdr:from>
    <xdr:to>
      <xdr:col>19</xdr:col>
      <xdr:colOff>117600</xdr:colOff>
      <xdr:row>6</xdr:row>
      <xdr:rowOff>13109</xdr:rowOff>
    </xdr:to>
    <xdr:sp macro="" textlink="">
      <xdr:nvSpPr>
        <xdr:cNvPr id="7" name="Rectangle: Top Corners Rounded 6">
          <a:extLst>
            <a:ext uri="{FF2B5EF4-FFF2-40B4-BE49-F238E27FC236}">
              <a16:creationId xmlns:a16="http://schemas.microsoft.com/office/drawing/2014/main" id="{84D5B7F6-F960-63BF-1FD6-CC9325835F14}"/>
            </a:ext>
          </a:extLst>
        </xdr:cNvPr>
        <xdr:cNvSpPr>
          <a:spLocks/>
        </xdr:cNvSpPr>
      </xdr:nvSpPr>
      <xdr:spPr>
        <a:xfrm rot="10800000">
          <a:off x="0" y="8874"/>
          <a:ext cx="11700000" cy="1114578"/>
        </a:xfrm>
        <a:prstGeom prst="round2Same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198070</xdr:colOff>
      <xdr:row>1</xdr:row>
      <xdr:rowOff>103607</xdr:rowOff>
    </xdr:from>
    <xdr:to>
      <xdr:col>13</xdr:col>
      <xdr:colOff>507670</xdr:colOff>
      <xdr:row>3</xdr:row>
      <xdr:rowOff>97847</xdr:rowOff>
    </xdr:to>
    <xdr:sp macro="" textlink="">
      <xdr:nvSpPr>
        <xdr:cNvPr id="8" name="TextBox 7">
          <a:extLst>
            <a:ext uri="{FF2B5EF4-FFF2-40B4-BE49-F238E27FC236}">
              <a16:creationId xmlns:a16="http://schemas.microsoft.com/office/drawing/2014/main" id="{8386C187-B75C-2B94-0D89-565D566DC160}"/>
            </a:ext>
          </a:extLst>
        </xdr:cNvPr>
        <xdr:cNvSpPr txBox="1"/>
      </xdr:nvSpPr>
      <xdr:spPr>
        <a:xfrm>
          <a:off x="2636470" y="282901"/>
          <a:ext cx="5796000" cy="352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a:solidFill>
                <a:schemeClr val="bg2"/>
              </a:solidFill>
              <a:latin typeface="Montserrat" panose="00000800000000000000" pitchFamily="50" charset="0"/>
            </a:rPr>
            <a:t>Attendance Track &amp; Earnings Overview</a:t>
          </a:r>
        </a:p>
      </xdr:txBody>
    </xdr:sp>
    <xdr:clientData/>
  </xdr:twoCellAnchor>
  <xdr:twoCellAnchor>
    <xdr:from>
      <xdr:col>3</xdr:col>
      <xdr:colOff>445734</xdr:colOff>
      <xdr:row>5</xdr:row>
      <xdr:rowOff>55466</xdr:rowOff>
    </xdr:from>
    <xdr:to>
      <xdr:col>15</xdr:col>
      <xdr:colOff>69294</xdr:colOff>
      <xdr:row>10</xdr:row>
      <xdr:rowOff>41066</xdr:rowOff>
    </xdr:to>
    <xdr:grpSp>
      <xdr:nvGrpSpPr>
        <xdr:cNvPr id="25" name="Group 24">
          <a:extLst>
            <a:ext uri="{FF2B5EF4-FFF2-40B4-BE49-F238E27FC236}">
              <a16:creationId xmlns:a16="http://schemas.microsoft.com/office/drawing/2014/main" id="{C9B49E61-82DA-D029-2685-7F4FD7E4B463}"/>
            </a:ext>
          </a:extLst>
        </xdr:cNvPr>
        <xdr:cNvGrpSpPr/>
      </xdr:nvGrpSpPr>
      <xdr:grpSpPr>
        <a:xfrm>
          <a:off x="2274534" y="951937"/>
          <a:ext cx="6938760" cy="882070"/>
          <a:chOff x="2133600" y="941070"/>
          <a:chExt cx="6938760" cy="900000"/>
        </a:xfrm>
      </xdr:grpSpPr>
      <xdr:grpSp>
        <xdr:nvGrpSpPr>
          <xdr:cNvPr id="24" name="Group 23">
            <a:extLst>
              <a:ext uri="{FF2B5EF4-FFF2-40B4-BE49-F238E27FC236}">
                <a16:creationId xmlns:a16="http://schemas.microsoft.com/office/drawing/2014/main" id="{DBFF0A1D-3D61-729D-FBCC-92399ED17D0F}"/>
              </a:ext>
            </a:extLst>
          </xdr:cNvPr>
          <xdr:cNvGrpSpPr/>
        </xdr:nvGrpSpPr>
        <xdr:grpSpPr>
          <a:xfrm>
            <a:off x="2133600" y="941070"/>
            <a:ext cx="1620000" cy="900000"/>
            <a:chOff x="2133600" y="975360"/>
            <a:chExt cx="1620000" cy="900000"/>
          </a:xfrm>
        </xdr:grpSpPr>
        <xdr:sp macro="" textlink="">
          <xdr:nvSpPr>
            <xdr:cNvPr id="9" name="Rectangle: Rounded Corners 8">
              <a:extLst>
                <a:ext uri="{FF2B5EF4-FFF2-40B4-BE49-F238E27FC236}">
                  <a16:creationId xmlns:a16="http://schemas.microsoft.com/office/drawing/2014/main" id="{EEBC34D8-5A02-FC47-386C-A07E3AF9AF88}"/>
                </a:ext>
              </a:extLst>
            </xdr:cNvPr>
            <xdr:cNvSpPr/>
          </xdr:nvSpPr>
          <xdr:spPr>
            <a:xfrm>
              <a:off x="2133600" y="975360"/>
              <a:ext cx="1620000" cy="9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800" baseline="0">
                  <a:solidFill>
                    <a:schemeClr val="accent1"/>
                  </a:solidFill>
                  <a:latin typeface="Montserrat" panose="00000800000000000000" pitchFamily="50" charset="0"/>
                </a:rPr>
                <a:t>TOTAL WORKING DAYS</a:t>
              </a:r>
            </a:p>
            <a:p>
              <a:pPr algn="ctr"/>
              <a:r>
                <a:rPr lang="en-ID" sz="800" baseline="0">
                  <a:solidFill>
                    <a:schemeClr val="accent1"/>
                  </a:solidFill>
                  <a:latin typeface="Montserrat" panose="00000800000000000000" pitchFamily="50" charset="0"/>
                </a:rPr>
                <a:t>(DAYS)</a:t>
              </a:r>
            </a:p>
          </xdr:txBody>
        </xdr:sp>
        <xdr:sp macro="" textlink="'Pivot Table'!M1">
          <xdr:nvSpPr>
            <xdr:cNvPr id="14" name="TextBox 13">
              <a:extLst>
                <a:ext uri="{FF2B5EF4-FFF2-40B4-BE49-F238E27FC236}">
                  <a16:creationId xmlns:a16="http://schemas.microsoft.com/office/drawing/2014/main" id="{BDE4AD2B-A632-ECA9-6491-68BDA5B67FD9}"/>
                </a:ext>
              </a:extLst>
            </xdr:cNvPr>
            <xdr:cNvSpPr txBox="1"/>
          </xdr:nvSpPr>
          <xdr:spPr>
            <a:xfrm>
              <a:off x="2387340" y="1366770"/>
              <a:ext cx="111252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A24942-EB22-4EE7-A2CF-D21C55BED0EF}" type="TxLink">
                <a:rPr lang="en-US" sz="2000" b="0" i="0" u="none" strike="noStrike">
                  <a:solidFill>
                    <a:schemeClr val="accent1"/>
                  </a:solidFill>
                  <a:latin typeface="Montserrat" panose="00000800000000000000" pitchFamily="50" charset="0"/>
                </a:rPr>
                <a:pPr algn="ctr"/>
                <a:t>74</a:t>
              </a:fld>
              <a:endParaRPr lang="en-ID" sz="2000" b="1">
                <a:solidFill>
                  <a:schemeClr val="accent1"/>
                </a:solidFill>
                <a:latin typeface="Montserrat" panose="00000800000000000000" pitchFamily="50" charset="0"/>
              </a:endParaRPr>
            </a:p>
          </xdr:txBody>
        </xdr:sp>
      </xdr:grpSp>
      <xdr:grpSp>
        <xdr:nvGrpSpPr>
          <xdr:cNvPr id="23" name="Group 22">
            <a:extLst>
              <a:ext uri="{FF2B5EF4-FFF2-40B4-BE49-F238E27FC236}">
                <a16:creationId xmlns:a16="http://schemas.microsoft.com/office/drawing/2014/main" id="{4E1593B8-1738-9D64-0850-A70812430CDD}"/>
              </a:ext>
            </a:extLst>
          </xdr:cNvPr>
          <xdr:cNvGrpSpPr/>
        </xdr:nvGrpSpPr>
        <xdr:grpSpPr>
          <a:xfrm>
            <a:off x="3906520" y="941070"/>
            <a:ext cx="1620000" cy="900000"/>
            <a:chOff x="3848100" y="1005840"/>
            <a:chExt cx="1620000" cy="900000"/>
          </a:xfrm>
        </xdr:grpSpPr>
        <xdr:sp macro="" textlink="">
          <xdr:nvSpPr>
            <xdr:cNvPr id="15" name="Rectangle: Rounded Corners 14">
              <a:extLst>
                <a:ext uri="{FF2B5EF4-FFF2-40B4-BE49-F238E27FC236}">
                  <a16:creationId xmlns:a16="http://schemas.microsoft.com/office/drawing/2014/main" id="{8087386D-F6C0-43A7-B0B4-C096DB520E34}"/>
                </a:ext>
              </a:extLst>
            </xdr:cNvPr>
            <xdr:cNvSpPr/>
          </xdr:nvSpPr>
          <xdr:spPr>
            <a:xfrm>
              <a:off x="3848100" y="1005840"/>
              <a:ext cx="1620000" cy="9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800" baseline="0">
                  <a:solidFill>
                    <a:schemeClr val="accent1"/>
                  </a:solidFill>
                  <a:latin typeface="Montserrat" panose="00000800000000000000" pitchFamily="50" charset="0"/>
                </a:rPr>
                <a:t>TOTAL HOLIDAY OVERTIME</a:t>
              </a:r>
            </a:p>
            <a:p>
              <a:pPr algn="ctr"/>
              <a:r>
                <a:rPr lang="en-ID" sz="800" baseline="0">
                  <a:solidFill>
                    <a:schemeClr val="accent1"/>
                  </a:solidFill>
                  <a:latin typeface="Montserrat" panose="00000800000000000000" pitchFamily="50" charset="0"/>
                </a:rPr>
                <a:t>(TIMES)</a:t>
              </a:r>
            </a:p>
          </xdr:txBody>
        </xdr:sp>
        <xdr:sp macro="" textlink="'Pivot Table'!M4">
          <xdr:nvSpPr>
            <xdr:cNvPr id="16" name="TextBox 15">
              <a:extLst>
                <a:ext uri="{FF2B5EF4-FFF2-40B4-BE49-F238E27FC236}">
                  <a16:creationId xmlns:a16="http://schemas.microsoft.com/office/drawing/2014/main" id="{B05952FC-A622-4CE4-B322-579AFA13B30D}"/>
                </a:ext>
              </a:extLst>
            </xdr:cNvPr>
            <xdr:cNvSpPr txBox="1"/>
          </xdr:nvSpPr>
          <xdr:spPr>
            <a:xfrm>
              <a:off x="4101840" y="1397250"/>
              <a:ext cx="111252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FE9532-60AB-416E-B8C5-E80F2092D9EC}" type="TxLink">
                <a:rPr lang="en-US" sz="2000" b="0" i="0" u="none" strike="noStrike">
                  <a:solidFill>
                    <a:schemeClr val="accent1"/>
                  </a:solidFill>
                  <a:latin typeface="Montserrat" panose="00000800000000000000" pitchFamily="50" charset="0"/>
                </a:rPr>
                <a:pPr algn="ctr"/>
                <a:t>2</a:t>
              </a:fld>
              <a:endParaRPr lang="en-ID" sz="2000" b="1">
                <a:solidFill>
                  <a:schemeClr val="accent1"/>
                </a:solidFill>
                <a:latin typeface="Montserrat" panose="00000800000000000000" pitchFamily="50" charset="0"/>
              </a:endParaRPr>
            </a:p>
          </xdr:txBody>
        </xdr:sp>
      </xdr:grpSp>
      <xdr:grpSp>
        <xdr:nvGrpSpPr>
          <xdr:cNvPr id="22" name="Group 21">
            <a:extLst>
              <a:ext uri="{FF2B5EF4-FFF2-40B4-BE49-F238E27FC236}">
                <a16:creationId xmlns:a16="http://schemas.microsoft.com/office/drawing/2014/main" id="{5B43DEBE-B132-AE73-775C-6E2A45606E56}"/>
              </a:ext>
            </a:extLst>
          </xdr:cNvPr>
          <xdr:cNvGrpSpPr/>
        </xdr:nvGrpSpPr>
        <xdr:grpSpPr>
          <a:xfrm>
            <a:off x="5679440" y="941070"/>
            <a:ext cx="1620000" cy="900000"/>
            <a:chOff x="5646420" y="937260"/>
            <a:chExt cx="1620000" cy="900000"/>
          </a:xfrm>
        </xdr:grpSpPr>
        <xdr:sp macro="" textlink="">
          <xdr:nvSpPr>
            <xdr:cNvPr id="17" name="Rectangle: Rounded Corners 16">
              <a:extLst>
                <a:ext uri="{FF2B5EF4-FFF2-40B4-BE49-F238E27FC236}">
                  <a16:creationId xmlns:a16="http://schemas.microsoft.com/office/drawing/2014/main" id="{5054E50C-9E41-46DC-89BF-379EF6A021DB}"/>
                </a:ext>
              </a:extLst>
            </xdr:cNvPr>
            <xdr:cNvSpPr/>
          </xdr:nvSpPr>
          <xdr:spPr>
            <a:xfrm>
              <a:off x="5646420" y="937260"/>
              <a:ext cx="1620000" cy="9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800" baseline="0">
                  <a:solidFill>
                    <a:schemeClr val="accent1"/>
                  </a:solidFill>
                  <a:latin typeface="Montserrat" panose="00000800000000000000" pitchFamily="50" charset="0"/>
                </a:rPr>
                <a:t>TOTAL OVERTIME</a:t>
              </a:r>
            </a:p>
            <a:p>
              <a:pPr algn="ctr"/>
              <a:r>
                <a:rPr lang="en-ID" sz="800" baseline="0">
                  <a:solidFill>
                    <a:schemeClr val="accent1"/>
                  </a:solidFill>
                  <a:latin typeface="Montserrat" panose="00000800000000000000" pitchFamily="50" charset="0"/>
                </a:rPr>
                <a:t>(TIMES)</a:t>
              </a:r>
            </a:p>
          </xdr:txBody>
        </xdr:sp>
        <xdr:sp macro="" textlink="'Pivot Table'!M3">
          <xdr:nvSpPr>
            <xdr:cNvPr id="18" name="TextBox 17">
              <a:extLst>
                <a:ext uri="{FF2B5EF4-FFF2-40B4-BE49-F238E27FC236}">
                  <a16:creationId xmlns:a16="http://schemas.microsoft.com/office/drawing/2014/main" id="{6F928FD1-E238-4B55-AB7E-5C219929A09B}"/>
                </a:ext>
              </a:extLst>
            </xdr:cNvPr>
            <xdr:cNvSpPr txBox="1"/>
          </xdr:nvSpPr>
          <xdr:spPr>
            <a:xfrm>
              <a:off x="5900160" y="1328670"/>
              <a:ext cx="111252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E0962A-FA87-4024-958E-46144F5758B9}" type="TxLink">
                <a:rPr lang="en-US" sz="2000" b="0" i="0" u="none" strike="noStrike">
                  <a:solidFill>
                    <a:schemeClr val="accent1"/>
                  </a:solidFill>
                  <a:latin typeface="Montserrat" panose="00000800000000000000" pitchFamily="50" charset="0"/>
                </a:rPr>
                <a:pPr algn="ctr"/>
                <a:t>0</a:t>
              </a:fld>
              <a:endParaRPr lang="en-ID" sz="2000" b="1">
                <a:solidFill>
                  <a:schemeClr val="accent1"/>
                </a:solidFill>
                <a:latin typeface="Montserrat" panose="00000800000000000000" pitchFamily="50" charset="0"/>
              </a:endParaRPr>
            </a:p>
          </xdr:txBody>
        </xdr:sp>
      </xdr:grpSp>
      <xdr:grpSp>
        <xdr:nvGrpSpPr>
          <xdr:cNvPr id="21" name="Group 20">
            <a:extLst>
              <a:ext uri="{FF2B5EF4-FFF2-40B4-BE49-F238E27FC236}">
                <a16:creationId xmlns:a16="http://schemas.microsoft.com/office/drawing/2014/main" id="{91740E38-3B9F-88C2-FB90-4ACDFD9D407D}"/>
              </a:ext>
            </a:extLst>
          </xdr:cNvPr>
          <xdr:cNvGrpSpPr/>
        </xdr:nvGrpSpPr>
        <xdr:grpSpPr>
          <a:xfrm>
            <a:off x="7452360" y="941070"/>
            <a:ext cx="1620000" cy="900000"/>
            <a:chOff x="7452360" y="876300"/>
            <a:chExt cx="1620000" cy="900000"/>
          </a:xfrm>
        </xdr:grpSpPr>
        <xdr:sp macro="" textlink="">
          <xdr:nvSpPr>
            <xdr:cNvPr id="19" name="Rectangle: Rounded Corners 18">
              <a:extLst>
                <a:ext uri="{FF2B5EF4-FFF2-40B4-BE49-F238E27FC236}">
                  <a16:creationId xmlns:a16="http://schemas.microsoft.com/office/drawing/2014/main" id="{86D865E2-FE07-4E08-A708-999BAABAACDC}"/>
                </a:ext>
              </a:extLst>
            </xdr:cNvPr>
            <xdr:cNvSpPr/>
          </xdr:nvSpPr>
          <xdr:spPr>
            <a:xfrm>
              <a:off x="7452360" y="876300"/>
              <a:ext cx="1620000" cy="9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800">
                  <a:solidFill>
                    <a:schemeClr val="accent1"/>
                  </a:solidFill>
                  <a:latin typeface="Montserrat" panose="00000800000000000000" pitchFamily="50" charset="0"/>
                </a:rPr>
                <a:t>TOTAL OFF</a:t>
              </a:r>
            </a:p>
            <a:p>
              <a:pPr algn="ctr"/>
              <a:r>
                <a:rPr lang="en-ID" sz="800">
                  <a:solidFill>
                    <a:schemeClr val="accent1"/>
                  </a:solidFill>
                  <a:latin typeface="Montserrat" panose="00000800000000000000" pitchFamily="50" charset="0"/>
                </a:rPr>
                <a:t>(DAYS)</a:t>
              </a:r>
            </a:p>
          </xdr:txBody>
        </xdr:sp>
        <xdr:sp macro="" textlink="'Pivot Table'!M2">
          <xdr:nvSpPr>
            <xdr:cNvPr id="20" name="TextBox 19">
              <a:extLst>
                <a:ext uri="{FF2B5EF4-FFF2-40B4-BE49-F238E27FC236}">
                  <a16:creationId xmlns:a16="http://schemas.microsoft.com/office/drawing/2014/main" id="{F7A9E0A4-6DA6-4AD7-AEA4-49D13EA37233}"/>
                </a:ext>
              </a:extLst>
            </xdr:cNvPr>
            <xdr:cNvSpPr txBox="1"/>
          </xdr:nvSpPr>
          <xdr:spPr>
            <a:xfrm>
              <a:off x="7660380" y="1267710"/>
              <a:ext cx="111252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44AF86-ECE1-472A-853B-15EF94A9C228}" type="TxLink">
                <a:rPr lang="en-US" sz="2000" b="0" i="0" u="none" strike="noStrike">
                  <a:solidFill>
                    <a:schemeClr val="accent1"/>
                  </a:solidFill>
                  <a:latin typeface="Montserrat" panose="00000800000000000000" pitchFamily="50" charset="0"/>
                </a:rPr>
                <a:pPr algn="ctr"/>
                <a:t>37</a:t>
              </a:fld>
              <a:endParaRPr lang="en-ID" sz="2000" b="1">
                <a:solidFill>
                  <a:schemeClr val="accent1"/>
                </a:solidFill>
                <a:latin typeface="Montserrat" panose="00000800000000000000" pitchFamily="50" charset="0"/>
              </a:endParaRPr>
            </a:p>
          </xdr:txBody>
        </xdr:sp>
      </xdr:grpSp>
    </xdr:grpSp>
    <xdr:clientData/>
  </xdr:twoCellAnchor>
  <xdr:twoCellAnchor>
    <xdr:from>
      <xdr:col>0</xdr:col>
      <xdr:colOff>0</xdr:colOff>
      <xdr:row>0</xdr:row>
      <xdr:rowOff>85050</xdr:rowOff>
    </xdr:from>
    <xdr:to>
      <xdr:col>3</xdr:col>
      <xdr:colOff>331200</xdr:colOff>
      <xdr:row>16</xdr:row>
      <xdr:rowOff>153438</xdr:rowOff>
    </xdr:to>
    <xdr:grpSp>
      <xdr:nvGrpSpPr>
        <xdr:cNvPr id="30" name="Group 29">
          <a:extLst>
            <a:ext uri="{FF2B5EF4-FFF2-40B4-BE49-F238E27FC236}">
              <a16:creationId xmlns:a16="http://schemas.microsoft.com/office/drawing/2014/main" id="{08E2BE82-ACB1-F99C-FC22-0C2DD5A25086}"/>
            </a:ext>
          </a:extLst>
        </xdr:cNvPr>
        <xdr:cNvGrpSpPr>
          <a:grpSpLocks noChangeAspect="1"/>
        </xdr:cNvGrpSpPr>
      </xdr:nvGrpSpPr>
      <xdr:grpSpPr>
        <a:xfrm>
          <a:off x="0" y="85050"/>
          <a:ext cx="2160000" cy="2937094"/>
          <a:chOff x="4625787" y="2804036"/>
          <a:chExt cx="2160000" cy="2932343"/>
        </a:xfrm>
        <a:effectLst>
          <a:outerShdw blurRad="50800" dist="38100" dir="5400000" algn="t" rotWithShape="0">
            <a:prstClr val="black">
              <a:alpha val="40000"/>
            </a:prstClr>
          </a:outerShdw>
        </a:effectLst>
      </xdr:grpSpPr>
      <xdr:sp macro="" textlink="">
        <xdr:nvSpPr>
          <xdr:cNvPr id="28" name="Rectangle: Rounded Corners 27">
            <a:extLst>
              <a:ext uri="{FF2B5EF4-FFF2-40B4-BE49-F238E27FC236}">
                <a16:creationId xmlns:a16="http://schemas.microsoft.com/office/drawing/2014/main" id="{AAF70E06-D642-B42C-5437-613548346FB3}"/>
              </a:ext>
            </a:extLst>
          </xdr:cNvPr>
          <xdr:cNvSpPr/>
        </xdr:nvSpPr>
        <xdr:spPr>
          <a:xfrm rot="10800000">
            <a:off x="4625787" y="3671069"/>
            <a:ext cx="2160000" cy="2065310"/>
          </a:xfrm>
          <a:prstGeom prst="round2Same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pSp>
        <xdr:nvGrpSpPr>
          <xdr:cNvPr id="29" name="Group 28">
            <a:extLst>
              <a:ext uri="{FF2B5EF4-FFF2-40B4-BE49-F238E27FC236}">
                <a16:creationId xmlns:a16="http://schemas.microsoft.com/office/drawing/2014/main" id="{DB1DB4B5-939C-2A9D-D3BB-689A483DB5A8}"/>
              </a:ext>
            </a:extLst>
          </xdr:cNvPr>
          <xdr:cNvGrpSpPr/>
        </xdr:nvGrpSpPr>
        <xdr:grpSpPr>
          <a:xfrm>
            <a:off x="4805788" y="2804036"/>
            <a:ext cx="1800000" cy="2849385"/>
            <a:chOff x="4707815" y="2693446"/>
            <a:chExt cx="1800000" cy="2849385"/>
          </a:xfrm>
        </xdr:grpSpPr>
        <mc:AlternateContent xmlns:mc="http://schemas.openxmlformats.org/markup-compatibility/2006" xmlns:a14="http://schemas.microsoft.com/office/drawing/2010/main">
          <mc:Choice Requires="a14">
            <xdr:graphicFrame macro="">
              <xdr:nvGraphicFramePr>
                <xdr:cNvPr id="26" name="Payroll Month">
                  <a:extLst>
                    <a:ext uri="{FF2B5EF4-FFF2-40B4-BE49-F238E27FC236}">
                      <a16:creationId xmlns:a16="http://schemas.microsoft.com/office/drawing/2014/main" id="{1E489E66-0D2C-4FB7-8981-152C9022DE8B}"/>
                    </a:ext>
                  </a:extLst>
                </xdr:cNvPr>
                <xdr:cNvGraphicFramePr>
                  <a:graphicFrameLocks noChangeAspect="1"/>
                </xdr:cNvGraphicFramePr>
              </xdr:nvGraphicFramePr>
              <xdr:xfrm>
                <a:off x="4707815" y="3425862"/>
                <a:ext cx="1800000" cy="2116969"/>
              </xdr:xfrm>
              <a:graphic>
                <a:graphicData uri="http://schemas.microsoft.com/office/drawing/2010/slicer">
                  <sle:slicer xmlns:sle="http://schemas.microsoft.com/office/drawing/2010/slicer" name="Payroll Month"/>
                </a:graphicData>
              </a:graphic>
            </xdr:graphicFrame>
          </mc:Choice>
          <mc:Fallback xmlns="">
            <xdr:sp macro="" textlink="">
              <xdr:nvSpPr>
                <xdr:cNvPr id="0" name=""/>
                <xdr:cNvSpPr>
                  <a:spLocks noTextEdit="1"/>
                </xdr:cNvSpPr>
              </xdr:nvSpPr>
              <xdr:spPr>
                <a:xfrm>
                  <a:off x="180001" y="846517"/>
                  <a:ext cx="1800000" cy="22009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Payroll Year">
                  <a:extLst>
                    <a:ext uri="{FF2B5EF4-FFF2-40B4-BE49-F238E27FC236}">
                      <a16:creationId xmlns:a16="http://schemas.microsoft.com/office/drawing/2014/main" id="{3917147D-14A3-44E1-BA37-D373F6442194}"/>
                    </a:ext>
                  </a:extLst>
                </xdr:cNvPr>
                <xdr:cNvGraphicFramePr/>
              </xdr:nvGraphicFramePr>
              <xdr:xfrm>
                <a:off x="4707815" y="2693446"/>
                <a:ext cx="1800000" cy="705657"/>
              </xdr:xfrm>
              <a:graphic>
                <a:graphicData uri="http://schemas.microsoft.com/office/drawing/2010/slicer">
                  <sle:slicer xmlns:sle="http://schemas.microsoft.com/office/drawing/2010/slicer" name="Payroll Year"/>
                </a:graphicData>
              </a:graphic>
            </xdr:graphicFrame>
          </mc:Choice>
          <mc:Fallback xmlns="">
            <xdr:sp macro="" textlink="">
              <xdr:nvSpPr>
                <xdr:cNvPr id="0" name=""/>
                <xdr:cNvSpPr>
                  <a:spLocks noTextEdit="1"/>
                </xdr:cNvSpPr>
              </xdr:nvSpPr>
              <xdr:spPr>
                <a:xfrm>
                  <a:off x="180001" y="85050"/>
                  <a:ext cx="1800000" cy="73364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3</xdr:col>
      <xdr:colOff>445734</xdr:colOff>
      <xdr:row>11</xdr:row>
      <xdr:rowOff>0</xdr:rowOff>
    </xdr:from>
    <xdr:to>
      <xdr:col>15</xdr:col>
      <xdr:colOff>110722</xdr:colOff>
      <xdr:row>17</xdr:row>
      <xdr:rowOff>4235</xdr:rowOff>
    </xdr:to>
    <xdr:grpSp>
      <xdr:nvGrpSpPr>
        <xdr:cNvPr id="47" name="Group 46">
          <a:extLst>
            <a:ext uri="{FF2B5EF4-FFF2-40B4-BE49-F238E27FC236}">
              <a16:creationId xmlns:a16="http://schemas.microsoft.com/office/drawing/2014/main" id="{BF6FE527-69D0-CF90-2545-496EDF1BF329}"/>
            </a:ext>
          </a:extLst>
        </xdr:cNvPr>
        <xdr:cNvGrpSpPr/>
      </xdr:nvGrpSpPr>
      <xdr:grpSpPr>
        <a:xfrm>
          <a:off x="2274534" y="1972235"/>
          <a:ext cx="6980188" cy="1080000"/>
          <a:chOff x="2274533" y="1916968"/>
          <a:chExt cx="6980188" cy="900002"/>
        </a:xfrm>
        <a:solidFill>
          <a:schemeClr val="accent1"/>
        </a:solidFill>
      </xdr:grpSpPr>
      <xdr:grpSp>
        <xdr:nvGrpSpPr>
          <xdr:cNvPr id="32" name="Group 31">
            <a:extLst>
              <a:ext uri="{FF2B5EF4-FFF2-40B4-BE49-F238E27FC236}">
                <a16:creationId xmlns:a16="http://schemas.microsoft.com/office/drawing/2014/main" id="{D6ECC5D2-A59D-0429-B91E-D3BD2BFAA4AD}"/>
              </a:ext>
            </a:extLst>
          </xdr:cNvPr>
          <xdr:cNvGrpSpPr/>
        </xdr:nvGrpSpPr>
        <xdr:grpSpPr>
          <a:xfrm>
            <a:off x="2274533" y="1916970"/>
            <a:ext cx="2268000" cy="900000"/>
            <a:chOff x="2133599" y="975360"/>
            <a:chExt cx="1620000" cy="625441"/>
          </a:xfrm>
          <a:grpFill/>
        </xdr:grpSpPr>
        <xdr:sp macro="" textlink="">
          <xdr:nvSpPr>
            <xdr:cNvPr id="42" name="Rectangle: Rounded Corners 41">
              <a:extLst>
                <a:ext uri="{FF2B5EF4-FFF2-40B4-BE49-F238E27FC236}">
                  <a16:creationId xmlns:a16="http://schemas.microsoft.com/office/drawing/2014/main" id="{42992B6A-41CE-8D83-F2AF-6EBFE1792F8B}"/>
                </a:ext>
              </a:extLst>
            </xdr:cNvPr>
            <xdr:cNvSpPr/>
          </xdr:nvSpPr>
          <xdr:spPr>
            <a:xfrm>
              <a:off x="2133599" y="975360"/>
              <a:ext cx="1620000" cy="625441"/>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000" baseline="0">
                  <a:solidFill>
                    <a:schemeClr val="bg1"/>
                  </a:solidFill>
                  <a:latin typeface="Montserrat" panose="00000800000000000000" pitchFamily="50" charset="0"/>
                </a:rPr>
                <a:t>GROSS SALARY</a:t>
              </a:r>
            </a:p>
          </xdr:txBody>
        </xdr:sp>
        <xdr:sp macro="" textlink="'Pivot Table'!E5">
          <xdr:nvSpPr>
            <xdr:cNvPr id="43" name="TextBox 42">
              <a:extLst>
                <a:ext uri="{FF2B5EF4-FFF2-40B4-BE49-F238E27FC236}">
                  <a16:creationId xmlns:a16="http://schemas.microsoft.com/office/drawing/2014/main" id="{BB9B5ACA-CCEA-D178-2630-1BD43D5624CE}"/>
                </a:ext>
              </a:extLst>
            </xdr:cNvPr>
            <xdr:cNvSpPr txBox="1"/>
          </xdr:nvSpPr>
          <xdr:spPr>
            <a:xfrm>
              <a:off x="2387340" y="1262474"/>
              <a:ext cx="1112520" cy="12508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80B258-CD7C-48D5-9151-E9A226B7001C}" type="TxLink">
                <a:rPr lang="en-US" sz="1400" b="0" i="0" u="none" strike="noStrike">
                  <a:solidFill>
                    <a:schemeClr val="accent1"/>
                  </a:solidFill>
                  <a:latin typeface="Montserrat" panose="00000800000000000000" pitchFamily="50" charset="0"/>
                </a:rPr>
                <a:pPr algn="ctr"/>
                <a:t>Rp9.276.427,00</a:t>
              </a:fld>
              <a:endParaRPr lang="en-ID" sz="1400" b="1">
                <a:solidFill>
                  <a:schemeClr val="accent1"/>
                </a:solidFill>
                <a:latin typeface="Montserrat" panose="00000800000000000000" pitchFamily="50" charset="0"/>
              </a:endParaRPr>
            </a:p>
          </xdr:txBody>
        </xdr:sp>
      </xdr:grpSp>
      <xdr:grpSp>
        <xdr:nvGrpSpPr>
          <xdr:cNvPr id="35" name="Group 34">
            <a:extLst>
              <a:ext uri="{FF2B5EF4-FFF2-40B4-BE49-F238E27FC236}">
                <a16:creationId xmlns:a16="http://schemas.microsoft.com/office/drawing/2014/main" id="{9D3AC48A-4EEE-0D41-5BD1-B0B44398C633}"/>
              </a:ext>
            </a:extLst>
          </xdr:cNvPr>
          <xdr:cNvGrpSpPr/>
        </xdr:nvGrpSpPr>
        <xdr:grpSpPr>
          <a:xfrm>
            <a:off x="4630627" y="1916968"/>
            <a:ext cx="2268000" cy="900000"/>
            <a:chOff x="7452359" y="876301"/>
            <a:chExt cx="1620000" cy="625441"/>
          </a:xfrm>
          <a:grpFill/>
        </xdr:grpSpPr>
        <xdr:sp macro="" textlink="">
          <xdr:nvSpPr>
            <xdr:cNvPr id="36" name="Rectangle: Rounded Corners 35">
              <a:extLst>
                <a:ext uri="{FF2B5EF4-FFF2-40B4-BE49-F238E27FC236}">
                  <a16:creationId xmlns:a16="http://schemas.microsoft.com/office/drawing/2014/main" id="{E81F187B-4DB8-1833-C390-B6956D541253}"/>
                </a:ext>
              </a:extLst>
            </xdr:cNvPr>
            <xdr:cNvSpPr/>
          </xdr:nvSpPr>
          <xdr:spPr>
            <a:xfrm>
              <a:off x="7452359" y="876301"/>
              <a:ext cx="1620000" cy="625441"/>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000">
                  <a:solidFill>
                    <a:schemeClr val="bg1"/>
                  </a:solidFill>
                  <a:latin typeface="Montserrat" panose="00000800000000000000" pitchFamily="50" charset="0"/>
                </a:rPr>
                <a:t>NET</a:t>
              </a:r>
              <a:r>
                <a:rPr lang="en-ID" sz="1000" baseline="0">
                  <a:solidFill>
                    <a:schemeClr val="bg1"/>
                  </a:solidFill>
                  <a:latin typeface="Montserrat" panose="00000800000000000000" pitchFamily="50" charset="0"/>
                </a:rPr>
                <a:t> SALARY</a:t>
              </a:r>
              <a:endParaRPr lang="en-ID" sz="1000">
                <a:solidFill>
                  <a:schemeClr val="bg1"/>
                </a:solidFill>
                <a:latin typeface="Montserrat" panose="00000800000000000000" pitchFamily="50" charset="0"/>
              </a:endParaRPr>
            </a:p>
          </xdr:txBody>
        </xdr:sp>
        <xdr:sp macro="" textlink="'Pivot Table'!F5">
          <xdr:nvSpPr>
            <xdr:cNvPr id="37" name="TextBox 36">
              <a:extLst>
                <a:ext uri="{FF2B5EF4-FFF2-40B4-BE49-F238E27FC236}">
                  <a16:creationId xmlns:a16="http://schemas.microsoft.com/office/drawing/2014/main" id="{C1C35F19-B46B-99DA-4D4B-7E3926BC90BD}"/>
                </a:ext>
              </a:extLst>
            </xdr:cNvPr>
            <xdr:cNvSpPr txBox="1"/>
          </xdr:nvSpPr>
          <xdr:spPr>
            <a:xfrm>
              <a:off x="7660380" y="1163413"/>
              <a:ext cx="1112520" cy="12508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872336-F0C5-4658-8C9C-3EF3B16303D9}" type="TxLink">
                <a:rPr lang="en-US" sz="1400" b="0" i="0" u="none" strike="noStrike">
                  <a:solidFill>
                    <a:schemeClr val="accent1"/>
                  </a:solidFill>
                  <a:latin typeface="Montserrat" panose="00000800000000000000" pitchFamily="50" charset="0"/>
                </a:rPr>
                <a:pPr algn="ctr"/>
                <a:t>Rp8.821.137,00</a:t>
              </a:fld>
              <a:endParaRPr lang="en-ID" sz="1400" b="1">
                <a:solidFill>
                  <a:schemeClr val="accent1"/>
                </a:solidFill>
                <a:latin typeface="Montserrat" panose="00000800000000000000" pitchFamily="50" charset="0"/>
              </a:endParaRPr>
            </a:p>
          </xdr:txBody>
        </xdr:sp>
      </xdr:grpSp>
      <xdr:grpSp>
        <xdr:nvGrpSpPr>
          <xdr:cNvPr id="44" name="Group 43">
            <a:extLst>
              <a:ext uri="{FF2B5EF4-FFF2-40B4-BE49-F238E27FC236}">
                <a16:creationId xmlns:a16="http://schemas.microsoft.com/office/drawing/2014/main" id="{8243914A-7394-4A74-8FED-65C2BD2E3534}"/>
              </a:ext>
            </a:extLst>
          </xdr:cNvPr>
          <xdr:cNvGrpSpPr/>
        </xdr:nvGrpSpPr>
        <xdr:grpSpPr>
          <a:xfrm>
            <a:off x="6986721" y="1916968"/>
            <a:ext cx="2268000" cy="900000"/>
            <a:chOff x="7452360" y="876301"/>
            <a:chExt cx="1620000" cy="625441"/>
          </a:xfrm>
          <a:grpFill/>
        </xdr:grpSpPr>
        <xdr:sp macro="" textlink="">
          <xdr:nvSpPr>
            <xdr:cNvPr id="45" name="Rectangle: Rounded Corners 44">
              <a:extLst>
                <a:ext uri="{FF2B5EF4-FFF2-40B4-BE49-F238E27FC236}">
                  <a16:creationId xmlns:a16="http://schemas.microsoft.com/office/drawing/2014/main" id="{A90F0805-1A6D-F43B-FE1D-41E0F3983F41}"/>
                </a:ext>
              </a:extLst>
            </xdr:cNvPr>
            <xdr:cNvSpPr/>
          </xdr:nvSpPr>
          <xdr:spPr>
            <a:xfrm>
              <a:off x="7452360" y="876301"/>
              <a:ext cx="1620000" cy="625441"/>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000">
                  <a:solidFill>
                    <a:schemeClr val="bg1"/>
                  </a:solidFill>
                  <a:latin typeface="Montserrat" panose="00000800000000000000" pitchFamily="50" charset="0"/>
                </a:rPr>
                <a:t>DEDUCTION</a:t>
              </a:r>
            </a:p>
          </xdr:txBody>
        </xdr:sp>
        <xdr:sp macro="" textlink="'Pivot Table'!H3">
          <xdr:nvSpPr>
            <xdr:cNvPr id="46" name="TextBox 45">
              <a:extLst>
                <a:ext uri="{FF2B5EF4-FFF2-40B4-BE49-F238E27FC236}">
                  <a16:creationId xmlns:a16="http://schemas.microsoft.com/office/drawing/2014/main" id="{121AC9C0-3E20-33BC-A635-90D3C457B8FB}"/>
                </a:ext>
              </a:extLst>
            </xdr:cNvPr>
            <xdr:cNvSpPr txBox="1"/>
          </xdr:nvSpPr>
          <xdr:spPr>
            <a:xfrm>
              <a:off x="7660380" y="1163413"/>
              <a:ext cx="1112520" cy="12508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962C79-C29F-44C9-81AD-94F284E82A7F}" type="TxLink">
                <a:rPr lang="en-US" sz="1400" b="0" i="0" u="none" strike="noStrike">
                  <a:solidFill>
                    <a:schemeClr val="accent1"/>
                  </a:solidFill>
                  <a:latin typeface="Montserrat" panose="00000800000000000000" pitchFamily="50" charset="0"/>
                </a:rPr>
                <a:pPr algn="ctr"/>
                <a:t>-Rp455.290,00</a:t>
              </a:fld>
              <a:endParaRPr lang="en-ID" sz="1400" b="1">
                <a:solidFill>
                  <a:schemeClr val="accent1"/>
                </a:solidFill>
                <a:latin typeface="Montserrat" panose="00000800000000000000" pitchFamily="50" charset="0"/>
              </a:endParaRPr>
            </a:p>
          </xdr:txBody>
        </xdr:sp>
      </xdr:grpSp>
    </xdr:grpSp>
    <xdr:clientData/>
  </xdr:twoCellAnchor>
  <xdr:twoCellAnchor>
    <xdr:from>
      <xdr:col>0</xdr:col>
      <xdr:colOff>231878</xdr:colOff>
      <xdr:row>18</xdr:row>
      <xdr:rowOff>21772</xdr:rowOff>
    </xdr:from>
    <xdr:to>
      <xdr:col>8</xdr:col>
      <xdr:colOff>134300</xdr:colOff>
      <xdr:row>33</xdr:row>
      <xdr:rowOff>75560</xdr:rowOff>
    </xdr:to>
    <xdr:graphicFrame macro="">
      <xdr:nvGraphicFramePr>
        <xdr:cNvPr id="48" name="Chart 47">
          <a:extLst>
            <a:ext uri="{FF2B5EF4-FFF2-40B4-BE49-F238E27FC236}">
              <a16:creationId xmlns:a16="http://schemas.microsoft.com/office/drawing/2014/main" id="{904CEE07-6072-4B84-AF1F-67ACB1C8E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394304</xdr:colOff>
      <xdr:row>5</xdr:row>
      <xdr:rowOff>16933</xdr:rowOff>
    </xdr:from>
    <xdr:to>
      <xdr:col>19</xdr:col>
      <xdr:colOff>115904</xdr:colOff>
      <xdr:row>17</xdr:row>
      <xdr:rowOff>21773</xdr:rowOff>
    </xdr:to>
    <xdr:sp macro="" textlink="">
      <xdr:nvSpPr>
        <xdr:cNvPr id="65" name="Rectangle: Rounded Corners 27">
          <a:extLst>
            <a:ext uri="{FF2B5EF4-FFF2-40B4-BE49-F238E27FC236}">
              <a16:creationId xmlns:a16="http://schemas.microsoft.com/office/drawing/2014/main" id="{5CFAB67C-68EB-4977-84F0-8E06BDF6AF3D}"/>
            </a:ext>
          </a:extLst>
        </xdr:cNvPr>
        <xdr:cNvSpPr/>
      </xdr:nvSpPr>
      <xdr:spPr>
        <a:xfrm rot="10800000">
          <a:off x="9538304" y="948266"/>
          <a:ext cx="2160000" cy="2240040"/>
        </a:xfrm>
        <a:prstGeom prst="round2Same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134300</xdr:colOff>
      <xdr:row>18</xdr:row>
      <xdr:rowOff>108217</xdr:rowOff>
    </xdr:from>
    <xdr:to>
      <xdr:col>15</xdr:col>
      <xdr:colOff>439100</xdr:colOff>
      <xdr:row>33</xdr:row>
      <xdr:rowOff>75560</xdr:rowOff>
    </xdr:to>
    <xdr:graphicFrame macro="">
      <xdr:nvGraphicFramePr>
        <xdr:cNvPr id="49" name="Chart 48">
          <a:extLst>
            <a:ext uri="{FF2B5EF4-FFF2-40B4-BE49-F238E27FC236}">
              <a16:creationId xmlns:a16="http://schemas.microsoft.com/office/drawing/2014/main" id="{DD0FF08F-BE40-4612-8B8B-65A1EA667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5300</xdr:colOff>
      <xdr:row>2</xdr:row>
      <xdr:rowOff>70313</xdr:rowOff>
    </xdr:from>
    <xdr:to>
      <xdr:col>18</xdr:col>
      <xdr:colOff>586100</xdr:colOff>
      <xdr:row>8</xdr:row>
      <xdr:rowOff>74545</xdr:rowOff>
    </xdr:to>
    <xdr:grpSp>
      <xdr:nvGrpSpPr>
        <xdr:cNvPr id="51" name="Group 50">
          <a:extLst>
            <a:ext uri="{FF2B5EF4-FFF2-40B4-BE49-F238E27FC236}">
              <a16:creationId xmlns:a16="http://schemas.microsoft.com/office/drawing/2014/main" id="{2649149A-D168-1549-A47C-FC9E5F2D949D}"/>
            </a:ext>
          </a:extLst>
        </xdr:cNvPr>
        <xdr:cNvGrpSpPr/>
      </xdr:nvGrpSpPr>
      <xdr:grpSpPr>
        <a:xfrm>
          <a:off x="9758900" y="428901"/>
          <a:ext cx="1800000" cy="1079997"/>
          <a:chOff x="2133599" y="975360"/>
          <a:chExt cx="1620000" cy="625441"/>
        </a:xfrm>
        <a:solidFill>
          <a:schemeClr val="bg1"/>
        </a:solidFill>
      </xdr:grpSpPr>
      <xdr:sp macro="" textlink="">
        <xdr:nvSpPr>
          <xdr:cNvPr id="58" name="Rectangle: Rounded Corners 57">
            <a:extLst>
              <a:ext uri="{FF2B5EF4-FFF2-40B4-BE49-F238E27FC236}">
                <a16:creationId xmlns:a16="http://schemas.microsoft.com/office/drawing/2014/main" id="{74D2A9EA-D236-B828-1044-7BBCFFFDD1CA}"/>
              </a:ext>
            </a:extLst>
          </xdr:cNvPr>
          <xdr:cNvSpPr/>
        </xdr:nvSpPr>
        <xdr:spPr>
          <a:xfrm>
            <a:off x="2133599" y="975360"/>
            <a:ext cx="1620000" cy="625441"/>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000" baseline="0">
                <a:solidFill>
                  <a:schemeClr val="accent1"/>
                </a:solidFill>
                <a:latin typeface="Montserrat" panose="00000800000000000000" pitchFamily="50" charset="0"/>
              </a:rPr>
              <a:t>NET EARNINGS</a:t>
            </a:r>
          </a:p>
        </xdr:txBody>
      </xdr:sp>
      <xdr:sp macro="" textlink="'Pivot Table'!F21">
        <xdr:nvSpPr>
          <xdr:cNvPr id="59" name="TextBox 58">
            <a:extLst>
              <a:ext uri="{FF2B5EF4-FFF2-40B4-BE49-F238E27FC236}">
                <a16:creationId xmlns:a16="http://schemas.microsoft.com/office/drawing/2014/main" id="{FD9DB360-A29A-C36E-1406-94D383AE8CB2}"/>
              </a:ext>
            </a:extLst>
          </xdr:cNvPr>
          <xdr:cNvSpPr txBox="1"/>
        </xdr:nvSpPr>
        <xdr:spPr>
          <a:xfrm>
            <a:off x="2387339" y="1262474"/>
            <a:ext cx="1134000" cy="12508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315813-DA39-4795-A5A3-91B643CFDDFC}" type="TxLink">
              <a:rPr lang="en-US" sz="1100" b="1" i="0" u="none" strike="noStrike">
                <a:solidFill>
                  <a:schemeClr val="bg1"/>
                </a:solidFill>
                <a:latin typeface="Montserrat" panose="00000800000000000000" pitchFamily="50" charset="0"/>
              </a:rPr>
              <a:pPr algn="ctr"/>
              <a:t>Rp9.276.427,00</a:t>
            </a:fld>
            <a:endParaRPr lang="en-ID" sz="1000" b="1">
              <a:solidFill>
                <a:schemeClr val="bg1"/>
              </a:solidFill>
              <a:latin typeface="Montserrat" panose="00000800000000000000" pitchFamily="50" charset="0"/>
            </a:endParaRPr>
          </a:p>
        </xdr:txBody>
      </xdr:sp>
    </xdr:grpSp>
    <xdr:clientData/>
  </xdr:twoCellAnchor>
  <xdr:twoCellAnchor>
    <xdr:from>
      <xdr:col>16</xdr:col>
      <xdr:colOff>5300</xdr:colOff>
      <xdr:row>10</xdr:row>
      <xdr:rowOff>15883</xdr:rowOff>
    </xdr:from>
    <xdr:to>
      <xdr:col>18</xdr:col>
      <xdr:colOff>586100</xdr:colOff>
      <xdr:row>16</xdr:row>
      <xdr:rowOff>20115</xdr:rowOff>
    </xdr:to>
    <xdr:grpSp>
      <xdr:nvGrpSpPr>
        <xdr:cNvPr id="66" name="Group 65">
          <a:extLst>
            <a:ext uri="{FF2B5EF4-FFF2-40B4-BE49-F238E27FC236}">
              <a16:creationId xmlns:a16="http://schemas.microsoft.com/office/drawing/2014/main" id="{F6F8123D-5E35-4268-84C2-0F123E33CCF4}"/>
            </a:ext>
          </a:extLst>
        </xdr:cNvPr>
        <xdr:cNvGrpSpPr/>
      </xdr:nvGrpSpPr>
      <xdr:grpSpPr>
        <a:xfrm>
          <a:off x="9758900" y="1808824"/>
          <a:ext cx="1800000" cy="1079997"/>
          <a:chOff x="2133599" y="975360"/>
          <a:chExt cx="1620000" cy="625441"/>
        </a:xfrm>
        <a:solidFill>
          <a:schemeClr val="bg1"/>
        </a:solidFill>
      </xdr:grpSpPr>
      <xdr:sp macro="" textlink="">
        <xdr:nvSpPr>
          <xdr:cNvPr id="67" name="Rectangle: Rounded Corners 66">
            <a:extLst>
              <a:ext uri="{FF2B5EF4-FFF2-40B4-BE49-F238E27FC236}">
                <a16:creationId xmlns:a16="http://schemas.microsoft.com/office/drawing/2014/main" id="{EA4280F4-BAA6-D1F2-8EEF-93E1673B4CF6}"/>
              </a:ext>
            </a:extLst>
          </xdr:cNvPr>
          <xdr:cNvSpPr/>
        </xdr:nvSpPr>
        <xdr:spPr>
          <a:xfrm>
            <a:off x="2133599" y="975360"/>
            <a:ext cx="1620000" cy="625441"/>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000" baseline="0">
                <a:solidFill>
                  <a:schemeClr val="accent1"/>
                </a:solidFill>
                <a:latin typeface="Montserrat" panose="00000800000000000000" pitchFamily="50" charset="0"/>
              </a:rPr>
              <a:t>TOTAL BPJS</a:t>
            </a:r>
          </a:p>
        </xdr:txBody>
      </xdr:sp>
      <xdr:sp macro="" textlink="'Pivot Table'!G23">
        <xdr:nvSpPr>
          <xdr:cNvPr id="68" name="TextBox 67">
            <a:extLst>
              <a:ext uri="{FF2B5EF4-FFF2-40B4-BE49-F238E27FC236}">
                <a16:creationId xmlns:a16="http://schemas.microsoft.com/office/drawing/2014/main" id="{A8058BA9-3A60-53CB-20E5-C15F6D3445E4}"/>
              </a:ext>
            </a:extLst>
          </xdr:cNvPr>
          <xdr:cNvSpPr txBox="1"/>
        </xdr:nvSpPr>
        <xdr:spPr>
          <a:xfrm>
            <a:off x="2387339" y="1262474"/>
            <a:ext cx="1134000" cy="12508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29A5B4-4E21-4DFB-8F39-AFF11287D625}" type="TxLink">
              <a:rPr lang="en-US" sz="1000" b="0" i="0" u="none" strike="noStrike">
                <a:solidFill>
                  <a:schemeClr val="bg1"/>
                </a:solidFill>
                <a:latin typeface="Montserrat" panose="00000800000000000000" pitchFamily="50" charset="0"/>
              </a:rPr>
              <a:pPr algn="ctr"/>
              <a:t>Rp455.290,00</a:t>
            </a:fld>
            <a:endParaRPr lang="en-ID" sz="1000" b="1">
              <a:solidFill>
                <a:schemeClr val="bg1"/>
              </a:solidFill>
              <a:latin typeface="Montserrat" panose="00000800000000000000" pitchFamily="50" charset="0"/>
            </a:endParaRPr>
          </a:p>
        </xdr:txBody>
      </xdr:sp>
    </xdr:grpSp>
    <xdr:clientData/>
  </xdr:twoCellAnchor>
  <xdr:twoCellAnchor>
    <xdr:from>
      <xdr:col>13</xdr:col>
      <xdr:colOff>194661</xdr:colOff>
      <xdr:row>18</xdr:row>
      <xdr:rowOff>65952</xdr:rowOff>
    </xdr:from>
    <xdr:to>
      <xdr:col>20</xdr:col>
      <xdr:colOff>415641</xdr:colOff>
      <xdr:row>33</xdr:row>
      <xdr:rowOff>119740</xdr:rowOff>
    </xdr:to>
    <xdr:graphicFrame macro="">
      <xdr:nvGraphicFramePr>
        <xdr:cNvPr id="70" name="Chart 69">
          <a:extLst>
            <a:ext uri="{FF2B5EF4-FFF2-40B4-BE49-F238E27FC236}">
              <a16:creationId xmlns:a16="http://schemas.microsoft.com/office/drawing/2014/main" id="{AADD6F62-8641-484A-B48C-A75954C64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10.812062268516" createdVersion="8" refreshedVersion="8" minRefreshableVersion="3" recordCount="115" xr:uid="{3A3279F7-3B46-490E-A204-45DE26FDF7E8}">
  <cacheSource type="worksheet">
    <worksheetSource name="TblRecords"/>
  </cacheSource>
  <cacheFields count="20">
    <cacheField name="No" numFmtId="1">
      <sharedItems containsSemiMixedTypes="0" containsString="0" containsNumber="1" containsInteger="1" minValue="1" maxValue="115"/>
    </cacheField>
    <cacheField name="Payroll Year" numFmtId="1">
      <sharedItems containsSemiMixedTypes="0" containsString="0" containsNumber="1" containsInteger="1" minValue="2025" maxValue="2026" count="2">
        <n v="2025"/>
        <n v="2026"/>
      </sharedItems>
    </cacheField>
    <cacheField name="Payroll Month" numFmtId="167">
      <sharedItems count="38">
        <s v="November"/>
        <s v="December"/>
        <s v="January"/>
        <s v="February"/>
        <s v="March" u="1"/>
        <s v="April" u="1"/>
        <s v="May" u="1"/>
        <s v="June" u="1"/>
        <s v="July" u="1"/>
        <s v="August" u="1"/>
        <s v="September" u="1"/>
        <s v="October" u="1"/>
        <s v="2025 - November" u="1"/>
        <s v="2025 - December" u="1"/>
        <s v="2026 - January" u="1"/>
        <s v="2026 - February" u="1"/>
        <s v="2026 - March" u="1"/>
        <s v="2026 - April" u="1"/>
        <s v="2026 - May" u="1"/>
        <s v="2026 - June" u="1"/>
        <s v="2026 - July" u="1"/>
        <s v="2026 - August" u="1"/>
        <s v="2026 - September" u="1"/>
        <s v="2026 - October" u="1"/>
        <s v="2026 - November" u="1"/>
        <s v="November, 2025" u="1"/>
        <s v="December, 2025" u="1"/>
        <s v="January, 2026" u="1"/>
        <s v="February, 2026" u="1"/>
        <s v="March, 2026" u="1"/>
        <s v="April, 2026" u="1"/>
        <s v="May, 2026" u="1"/>
        <s v="June, 2026" u="1"/>
        <s v="July, 2026" u="1"/>
        <s v="August, 2026" u="1"/>
        <s v="September, 2026" u="1"/>
        <s v="October, 2026" u="1"/>
        <s v="November, 2026" u="1"/>
      </sharedItems>
    </cacheField>
    <cacheField name="Full Date" numFmtId="14">
      <sharedItems containsSemiMixedTypes="0" containsNonDate="0" containsDate="1" containsString="0" minDate="2025-11-21T00:00:00" maxDate="2026-03-16T00:00:00" count="115">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sharedItems>
      <fieldGroup par="16"/>
    </cacheField>
    <cacheField name="Shift" numFmtId="168">
      <sharedItems containsMixedTypes="1" containsNumber="1" containsInteger="1" minValue="0" maxValue="3"/>
    </cacheField>
    <cacheField name="Overtime Hour" numFmtId="165">
      <sharedItems containsSemiMixedTypes="0" containsNonDate="0" containsDate="1" containsString="0" minDate="1899-12-30T00:00:00" maxDate="1899-12-31T00:00:00"/>
    </cacheField>
    <cacheField name="Overtime Break" numFmtId="165">
      <sharedItems containsSemiMixedTypes="0" containsNonDate="0" containsDate="1" containsString="0" minDate="1899-12-30T00:00:00" maxDate="1899-12-31T00:00:00"/>
    </cacheField>
    <cacheField name="Start Time" numFmtId="165">
      <sharedItems containsSemiMixedTypes="0" containsNonDate="0" containsDate="1" containsString="0" minDate="1899-12-30T00:00:00" maxDate="1899-12-30T22:00:00" count="4">
        <d v="1899-12-30T06:00:00"/>
        <d v="1899-12-30T00:00:00"/>
        <d v="1899-12-30T22:00:00"/>
        <d v="1899-12-30T14:00:00"/>
      </sharedItems>
      <fieldGroup par="19"/>
    </cacheField>
    <cacheField name="End Time" numFmtId="165">
      <sharedItems containsSemiMixedTypes="0" containsNonDate="0" containsDate="1" containsString="0" minDate="1899-12-30T00:00:00" maxDate="1899-12-31T06:30:00"/>
    </cacheField>
    <cacheField name="Daily Pay" numFmtId="166">
      <sharedItems containsSemiMixedTypes="0" containsString="0" containsNumber="1" containsInteger="1" minValue="0" maxValue="133640"/>
    </cacheField>
    <cacheField name="Overtime Pay" numFmtId="166">
      <sharedItems containsMixedTypes="1" containsNumber="1" containsInteger="1" minValue="0" maxValue="237927"/>
    </cacheField>
    <cacheField name="Deduction" numFmtId="166">
      <sharedItems containsSemiMixedTypes="0" containsString="0" containsNumber="1" containsInteger="1" minValue="-117640" maxValue="0"/>
    </cacheField>
    <cacheField name="Deduction Type" numFmtId="166">
      <sharedItems containsBlank="1" count="7">
        <s v="No Deduction"/>
        <s v="BPJS On-Cycle 2025"/>
        <s v="BPJS On-Cycle 2026"/>
        <s v="BPJS Pre-Deduction"/>
        <s v="BPJS Reversal" u="1"/>
        <s v="Uniform" u="1"/>
        <m u="1"/>
      </sharedItems>
    </cacheField>
    <cacheField name="Notes" numFmtId="0">
      <sharedItems containsBlank="1" count="9">
        <s v="ATTENDED"/>
        <s v="OFF"/>
        <s v="SICK"/>
        <s v="HOLIDAY OVERTIME"/>
        <s v="OVERTIME" u="1"/>
        <s v="PERMITTED" u="1"/>
        <s v="LONGSHIFT" u="1"/>
        <s v="SAKIT" u="1"/>
        <m u="1"/>
      </sharedItems>
    </cacheField>
    <cacheField name="Months (Full Date)" numFmtId="0" databaseField="0">
      <fieldGroup base="3">
        <rangePr groupBy="months" startDate="2025-11-21T00:00:00" endDate="2026-03-16T00:00:00"/>
        <groupItems count="14">
          <s v="&lt;21/11/2025"/>
          <s v="Jan"/>
          <s v="Feb"/>
          <s v="Mar"/>
          <s v="Apr"/>
          <s v="May"/>
          <s v="Jun"/>
          <s v="Jul"/>
          <s v="Aug"/>
          <s v="Sep"/>
          <s v="Oct"/>
          <s v="Nov"/>
          <s v="Dec"/>
          <s v="&gt;16/03/2026"/>
        </groupItems>
      </fieldGroup>
    </cacheField>
    <cacheField name="Quarters (Full Date)" numFmtId="0" databaseField="0">
      <fieldGroup base="3">
        <rangePr groupBy="quarters" startDate="2025-11-21T00:00:00" endDate="2026-03-16T00:00:00"/>
        <groupItems count="6">
          <s v="&lt;21/11/2025"/>
          <s v="Qtr1"/>
          <s v="Qtr2"/>
          <s v="Qtr3"/>
          <s v="Qtr4"/>
          <s v="&gt;16/03/2026"/>
        </groupItems>
      </fieldGroup>
    </cacheField>
    <cacheField name="Years (Full Date)" numFmtId="0" databaseField="0">
      <fieldGroup base="3">
        <rangePr groupBy="years" startDate="2025-11-21T00:00:00" endDate="2026-03-16T00:00:00"/>
        <groupItems count="4">
          <s v="&lt;21/11/2025"/>
          <s v="2025"/>
          <s v="2026"/>
          <s v="&gt;16/03/2026"/>
        </groupItems>
      </fieldGroup>
    </cacheField>
    <cacheField name="Net Salary" numFmtId="0" formula="'Daily Pay'+'Overtime Pay'" databaseField="0"/>
    <cacheField name="Gross Salary" numFmtId="0" formula="'Daily Pay'+#NAME?+'Overtime Pay'+#NAME?" databaseField="0"/>
    <cacheField name="Hours (Start Time)" numFmtId="0" databaseField="0">
      <fieldGroup base="7">
        <rangePr groupBy="hours" startDate="1899-12-30T00:00:00" endDate="1899-12-30T22:00: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31314958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n v="1"/>
    <x v="0"/>
    <x v="0"/>
    <x v="0"/>
    <n v="1"/>
    <d v="1899-12-30T00:00:00"/>
    <d v="1899-12-30T00:00:00"/>
    <x v="0"/>
    <d v="1899-12-30T14:30:00"/>
    <n v="110005"/>
    <n v="0"/>
    <n v="0"/>
    <x v="0"/>
    <x v="0"/>
  </r>
  <r>
    <n v="2"/>
    <x v="0"/>
    <x v="0"/>
    <x v="1"/>
    <n v="1"/>
    <d v="1899-12-30T00:00:00"/>
    <d v="1899-12-30T00:00:00"/>
    <x v="0"/>
    <d v="1899-12-30T14:30:00"/>
    <n v="110005"/>
    <n v="0"/>
    <n v="0"/>
    <x v="0"/>
    <x v="0"/>
  </r>
  <r>
    <n v="3"/>
    <x v="0"/>
    <x v="0"/>
    <x v="2"/>
    <s v="OFF"/>
    <d v="1899-12-30T00:00:00"/>
    <d v="1899-12-30T00:00:00"/>
    <x v="1"/>
    <d v="1899-12-30T00:00:00"/>
    <n v="0"/>
    <n v="0"/>
    <n v="0"/>
    <x v="0"/>
    <x v="1"/>
  </r>
  <r>
    <n v="4"/>
    <x v="0"/>
    <x v="0"/>
    <x v="3"/>
    <s v="OFF"/>
    <d v="1899-12-30T00:00:00"/>
    <d v="1899-12-30T00:00:00"/>
    <x v="1"/>
    <d v="1899-12-30T00:00:00"/>
    <n v="0"/>
    <n v="0"/>
    <n v="0"/>
    <x v="0"/>
    <x v="1"/>
  </r>
  <r>
    <n v="5"/>
    <x v="0"/>
    <x v="0"/>
    <x v="4"/>
    <n v="3"/>
    <d v="1899-12-30T00:00:00"/>
    <d v="1899-12-30T00:00:00"/>
    <x v="2"/>
    <d v="1899-12-31T06:30:00"/>
    <n v="110005"/>
    <n v="0"/>
    <n v="0"/>
    <x v="0"/>
    <x v="0"/>
  </r>
  <r>
    <n v="6"/>
    <x v="0"/>
    <x v="0"/>
    <x v="5"/>
    <s v="OFF"/>
    <d v="1899-12-30T00:00:00"/>
    <d v="1899-12-30T00:00:00"/>
    <x v="1"/>
    <d v="1899-12-30T00:00:00"/>
    <n v="0"/>
    <n v="0"/>
    <n v="0"/>
    <x v="0"/>
    <x v="1"/>
  </r>
  <r>
    <n v="7"/>
    <x v="0"/>
    <x v="0"/>
    <x v="6"/>
    <s v="OFF"/>
    <d v="1899-12-30T00:00:00"/>
    <d v="1899-12-30T00:00:00"/>
    <x v="1"/>
    <d v="1899-12-30T00:00:00"/>
    <n v="0"/>
    <n v="0"/>
    <n v="0"/>
    <x v="0"/>
    <x v="1"/>
  </r>
  <r>
    <n v="8"/>
    <x v="0"/>
    <x v="0"/>
    <x v="7"/>
    <n v="3"/>
    <d v="1899-12-30T00:00:00"/>
    <d v="1899-12-30T00:00:00"/>
    <x v="2"/>
    <d v="1899-12-31T06:30:00"/>
    <n v="110005"/>
    <n v="0"/>
    <n v="0"/>
    <x v="0"/>
    <x v="0"/>
  </r>
  <r>
    <n v="9"/>
    <x v="0"/>
    <x v="0"/>
    <x v="8"/>
    <s v="OFF"/>
    <d v="1899-12-30T00:00:00"/>
    <d v="1899-12-30T00:00:00"/>
    <x v="1"/>
    <d v="1899-12-30T00:00:00"/>
    <n v="0"/>
    <n v="0"/>
    <n v="0"/>
    <x v="0"/>
    <x v="1"/>
  </r>
  <r>
    <n v="10"/>
    <x v="0"/>
    <x v="0"/>
    <x v="9"/>
    <s v="OFF"/>
    <d v="1899-12-30T00:00:00"/>
    <d v="1899-12-30T00:00:00"/>
    <x v="1"/>
    <d v="1899-12-30T00:00:00"/>
    <n v="0"/>
    <n v="0"/>
    <n v="0"/>
    <x v="0"/>
    <x v="1"/>
  </r>
  <r>
    <n v="11"/>
    <x v="0"/>
    <x v="0"/>
    <x v="10"/>
    <s v="OFF"/>
    <d v="1899-12-30T00:00:00"/>
    <d v="1899-12-30T00:00:00"/>
    <x v="1"/>
    <d v="1899-12-30T00:00:00"/>
    <n v="0"/>
    <n v="0"/>
    <n v="0"/>
    <x v="0"/>
    <x v="1"/>
  </r>
  <r>
    <n v="12"/>
    <x v="0"/>
    <x v="0"/>
    <x v="11"/>
    <n v="2"/>
    <d v="1899-12-30T00:00:00"/>
    <d v="1899-12-30T00:00:00"/>
    <x v="3"/>
    <d v="1899-12-30T22:30:00"/>
    <n v="110005"/>
    <n v="0"/>
    <n v="0"/>
    <x v="0"/>
    <x v="0"/>
  </r>
  <r>
    <n v="13"/>
    <x v="0"/>
    <x v="0"/>
    <x v="12"/>
    <n v="2"/>
    <d v="1899-12-30T00:00:00"/>
    <d v="1899-12-30T00:00:00"/>
    <x v="3"/>
    <d v="1899-12-30T22:30:00"/>
    <n v="110005"/>
    <n v="0"/>
    <n v="0"/>
    <x v="0"/>
    <x v="0"/>
  </r>
  <r>
    <n v="14"/>
    <x v="0"/>
    <x v="0"/>
    <x v="13"/>
    <n v="2"/>
    <d v="1899-12-30T00:00:00"/>
    <d v="1899-12-30T00:00:00"/>
    <x v="3"/>
    <d v="1899-12-30T22:30:00"/>
    <n v="110005"/>
    <n v="0"/>
    <n v="0"/>
    <x v="0"/>
    <x v="0"/>
  </r>
  <r>
    <n v="15"/>
    <x v="0"/>
    <x v="0"/>
    <x v="14"/>
    <n v="2"/>
    <d v="1899-12-30T00:00:00"/>
    <d v="1899-12-30T00:00:00"/>
    <x v="3"/>
    <d v="1899-12-30T22:30:00"/>
    <n v="110005"/>
    <n v="0"/>
    <n v="0"/>
    <x v="0"/>
    <x v="0"/>
  </r>
  <r>
    <n v="16"/>
    <x v="0"/>
    <x v="0"/>
    <x v="15"/>
    <n v="2"/>
    <d v="1899-12-30T00:00:00"/>
    <d v="1899-12-30T00:00:00"/>
    <x v="3"/>
    <d v="1899-12-30T22:30:00"/>
    <n v="110005"/>
    <n v="0"/>
    <n v="0"/>
    <x v="0"/>
    <x v="0"/>
  </r>
  <r>
    <n v="17"/>
    <x v="0"/>
    <x v="0"/>
    <x v="16"/>
    <s v="OFF"/>
    <d v="1899-12-30T00:00:00"/>
    <d v="1899-12-30T00:00:00"/>
    <x v="1"/>
    <d v="1899-12-30T00:00:00"/>
    <n v="0"/>
    <n v="0"/>
    <n v="0"/>
    <x v="0"/>
    <x v="1"/>
  </r>
  <r>
    <n v="18"/>
    <x v="0"/>
    <x v="0"/>
    <x v="17"/>
    <n v="0"/>
    <d v="1899-12-30T00:00:00"/>
    <d v="1899-12-30T00:00:00"/>
    <x v="1"/>
    <d v="1899-12-30T00:00:00"/>
    <n v="0"/>
    <n v="0"/>
    <n v="0"/>
    <x v="0"/>
    <x v="2"/>
  </r>
  <r>
    <n v="19"/>
    <x v="0"/>
    <x v="0"/>
    <x v="18"/>
    <n v="1"/>
    <d v="1899-12-30T00:00:00"/>
    <d v="1899-12-30T00:00:00"/>
    <x v="0"/>
    <d v="1899-12-30T14:30:00"/>
    <n v="110005"/>
    <n v="0"/>
    <n v="0"/>
    <x v="0"/>
    <x v="0"/>
  </r>
  <r>
    <n v="20"/>
    <x v="0"/>
    <x v="0"/>
    <x v="19"/>
    <s v="OFF"/>
    <d v="1899-12-30T00:00:00"/>
    <d v="1899-12-30T00:00:00"/>
    <x v="1"/>
    <d v="1899-12-30T00:00:00"/>
    <n v="0"/>
    <n v="0"/>
    <n v="0"/>
    <x v="0"/>
    <x v="1"/>
  </r>
  <r>
    <n v="21"/>
    <x v="0"/>
    <x v="0"/>
    <x v="20"/>
    <n v="1"/>
    <d v="1899-12-30T00:00:00"/>
    <d v="1899-12-30T00:00:00"/>
    <x v="0"/>
    <d v="1899-12-30T14:30:00"/>
    <n v="110005"/>
    <n v="0"/>
    <n v="0"/>
    <x v="0"/>
    <x v="0"/>
  </r>
  <r>
    <n v="22"/>
    <x v="0"/>
    <x v="0"/>
    <x v="21"/>
    <n v="1"/>
    <d v="1899-12-30T00:00:00"/>
    <d v="1899-12-30T00:00:00"/>
    <x v="0"/>
    <d v="1899-12-30T14:30:00"/>
    <n v="110005"/>
    <n v="0"/>
    <n v="0"/>
    <x v="0"/>
    <x v="0"/>
  </r>
  <r>
    <n v="23"/>
    <x v="0"/>
    <x v="0"/>
    <x v="22"/>
    <s v="OFF"/>
    <d v="1899-12-30T00:00:00"/>
    <d v="1899-12-30T00:00:00"/>
    <x v="1"/>
    <d v="1899-12-30T00:00:00"/>
    <n v="0"/>
    <n v="0"/>
    <n v="0"/>
    <x v="0"/>
    <x v="1"/>
  </r>
  <r>
    <n v="24"/>
    <x v="0"/>
    <x v="0"/>
    <x v="23"/>
    <s v="OFF"/>
    <d v="1899-12-30T00:00:00"/>
    <d v="1899-12-30T00:00:00"/>
    <x v="1"/>
    <d v="1899-12-30T00:00:00"/>
    <n v="0"/>
    <n v="0"/>
    <n v="0"/>
    <x v="0"/>
    <x v="1"/>
  </r>
  <r>
    <n v="25"/>
    <x v="0"/>
    <x v="0"/>
    <x v="24"/>
    <n v="3"/>
    <d v="1899-12-30T00:00:00"/>
    <d v="1899-12-30T00:00:00"/>
    <x v="2"/>
    <d v="1899-12-31T06:30:00"/>
    <n v="110005"/>
    <n v="0"/>
    <n v="0"/>
    <x v="0"/>
    <x v="0"/>
  </r>
  <r>
    <n v="26"/>
    <x v="0"/>
    <x v="0"/>
    <x v="25"/>
    <n v="3"/>
    <d v="1899-12-30T00:00:00"/>
    <d v="1899-12-30T00:00:00"/>
    <x v="2"/>
    <d v="1899-12-31T06:30:00"/>
    <n v="110005"/>
    <n v="0"/>
    <n v="0"/>
    <x v="0"/>
    <x v="0"/>
  </r>
  <r>
    <n v="27"/>
    <x v="0"/>
    <x v="0"/>
    <x v="26"/>
    <n v="3"/>
    <d v="1899-12-30T00:00:00"/>
    <d v="1899-12-30T00:00:00"/>
    <x v="2"/>
    <d v="1899-12-31T06:30:00"/>
    <n v="110005"/>
    <n v="0"/>
    <n v="0"/>
    <x v="0"/>
    <x v="0"/>
  </r>
  <r>
    <n v="28"/>
    <x v="0"/>
    <x v="0"/>
    <x v="27"/>
    <n v="3"/>
    <d v="1899-12-30T00:00:00"/>
    <d v="1899-12-30T00:00:00"/>
    <x v="2"/>
    <d v="1899-12-31T06:30:00"/>
    <n v="110005"/>
    <n v="0"/>
    <n v="0"/>
    <x v="0"/>
    <x v="0"/>
  </r>
  <r>
    <n v="29"/>
    <x v="0"/>
    <x v="0"/>
    <x v="28"/>
    <n v="3"/>
    <d v="1899-12-30T00:00:00"/>
    <d v="1899-12-30T00:00:00"/>
    <x v="2"/>
    <d v="1899-12-31T06:30:00"/>
    <n v="110005"/>
    <n v="0"/>
    <n v="0"/>
    <x v="0"/>
    <x v="0"/>
  </r>
  <r>
    <n v="30"/>
    <x v="0"/>
    <x v="0"/>
    <x v="29"/>
    <s v="OFF"/>
    <d v="1899-12-30T00:00:00"/>
    <d v="1899-12-30T00:00:00"/>
    <x v="1"/>
    <d v="1899-12-30T00:00:00"/>
    <n v="0"/>
    <n v="0"/>
    <n v="-110005"/>
    <x v="1"/>
    <x v="1"/>
  </r>
  <r>
    <n v="31"/>
    <x v="0"/>
    <x v="1"/>
    <x v="30"/>
    <s v="OFF"/>
    <d v="1899-12-30T00:00:00"/>
    <d v="1899-12-30T00:00:00"/>
    <x v="1"/>
    <d v="1899-12-30T00:00:00"/>
    <n v="0"/>
    <n v="0"/>
    <n v="0"/>
    <x v="0"/>
    <x v="1"/>
  </r>
  <r>
    <n v="32"/>
    <x v="0"/>
    <x v="1"/>
    <x v="31"/>
    <n v="2"/>
    <d v="1899-12-30T00:00:00"/>
    <d v="1899-12-30T00:00:00"/>
    <x v="3"/>
    <d v="1899-12-30T22:30:00"/>
    <n v="110005"/>
    <n v="0"/>
    <n v="0"/>
    <x v="0"/>
    <x v="0"/>
  </r>
  <r>
    <n v="33"/>
    <x v="0"/>
    <x v="1"/>
    <x v="32"/>
    <n v="2"/>
    <d v="1899-12-30T00:00:00"/>
    <d v="1899-12-30T00:00:00"/>
    <x v="3"/>
    <d v="1899-12-30T22:30:00"/>
    <n v="110005"/>
    <n v="0"/>
    <n v="0"/>
    <x v="0"/>
    <x v="0"/>
  </r>
  <r>
    <n v="34"/>
    <x v="0"/>
    <x v="1"/>
    <x v="33"/>
    <n v="2"/>
    <d v="1899-12-30T00:00:00"/>
    <d v="1899-12-30T00:00:00"/>
    <x v="3"/>
    <d v="1899-12-30T22:30:00"/>
    <n v="110005"/>
    <n v="0"/>
    <n v="0"/>
    <x v="0"/>
    <x v="0"/>
  </r>
  <r>
    <n v="35"/>
    <x v="0"/>
    <x v="1"/>
    <x v="34"/>
    <n v="2"/>
    <d v="1899-12-30T07:00:00"/>
    <d v="1899-12-30T01:00:00"/>
    <x v="3"/>
    <d v="1899-12-30T22:00:00"/>
    <n v="0"/>
    <s v="Not Found"/>
    <n v="0"/>
    <x v="0"/>
    <x v="3"/>
  </r>
  <r>
    <n v="36"/>
    <x v="0"/>
    <x v="1"/>
    <x v="35"/>
    <n v="2"/>
    <d v="1899-12-30T00:00:00"/>
    <d v="1899-12-30T00:00:00"/>
    <x v="3"/>
    <d v="1899-12-30T22:30:00"/>
    <n v="110005"/>
    <n v="0"/>
    <n v="0"/>
    <x v="0"/>
    <x v="0"/>
  </r>
  <r>
    <n v="37"/>
    <x v="0"/>
    <x v="1"/>
    <x v="36"/>
    <s v="OFF"/>
    <d v="1899-12-30T00:00:00"/>
    <d v="1899-12-30T00:00:00"/>
    <x v="1"/>
    <d v="1899-12-30T00:00:00"/>
    <n v="0"/>
    <n v="0"/>
    <n v="0"/>
    <x v="0"/>
    <x v="1"/>
  </r>
  <r>
    <n v="38"/>
    <x v="0"/>
    <x v="1"/>
    <x v="37"/>
    <n v="1"/>
    <d v="1899-12-30T00:00:00"/>
    <d v="1899-12-30T00:00:00"/>
    <x v="0"/>
    <d v="1899-12-30T14:30:00"/>
    <n v="110005"/>
    <n v="0"/>
    <n v="0"/>
    <x v="0"/>
    <x v="0"/>
  </r>
  <r>
    <n v="39"/>
    <x v="0"/>
    <x v="1"/>
    <x v="38"/>
    <n v="1"/>
    <d v="1899-12-30T00:00:00"/>
    <d v="1899-12-30T00:00:00"/>
    <x v="0"/>
    <d v="1899-12-30T14:30:00"/>
    <n v="110005"/>
    <n v="0"/>
    <n v="0"/>
    <x v="0"/>
    <x v="0"/>
  </r>
  <r>
    <n v="40"/>
    <x v="0"/>
    <x v="1"/>
    <x v="39"/>
    <n v="1"/>
    <d v="1899-12-30T00:00:00"/>
    <d v="1899-12-30T00:00:00"/>
    <x v="0"/>
    <d v="1899-12-30T14:30:00"/>
    <n v="110005"/>
    <n v="0"/>
    <n v="0"/>
    <x v="0"/>
    <x v="0"/>
  </r>
  <r>
    <n v="41"/>
    <x v="0"/>
    <x v="1"/>
    <x v="40"/>
    <n v="1"/>
    <d v="1899-12-30T00:00:00"/>
    <d v="1899-12-30T00:00:00"/>
    <x v="0"/>
    <d v="1899-12-30T14:30:00"/>
    <n v="110005"/>
    <n v="0"/>
    <n v="0"/>
    <x v="0"/>
    <x v="0"/>
  </r>
  <r>
    <n v="42"/>
    <x v="0"/>
    <x v="1"/>
    <x v="41"/>
    <s v="OFF"/>
    <d v="1899-12-30T00:00:00"/>
    <d v="1899-12-30T00:00:00"/>
    <x v="1"/>
    <d v="1899-12-30T00:00:00"/>
    <n v="0"/>
    <n v="0"/>
    <n v="0"/>
    <x v="0"/>
    <x v="1"/>
  </r>
  <r>
    <n v="43"/>
    <x v="0"/>
    <x v="1"/>
    <x v="42"/>
    <s v="OFF"/>
    <d v="1899-12-30T00:00:00"/>
    <d v="1899-12-30T00:00:00"/>
    <x v="1"/>
    <d v="1899-12-30T00:00:00"/>
    <n v="0"/>
    <n v="0"/>
    <n v="0"/>
    <x v="0"/>
    <x v="1"/>
  </r>
  <r>
    <n v="44"/>
    <x v="0"/>
    <x v="1"/>
    <x v="43"/>
    <s v="OFF"/>
    <d v="1899-12-30T00:00:00"/>
    <d v="1899-12-30T00:00:00"/>
    <x v="1"/>
    <d v="1899-12-30T00:00:00"/>
    <n v="0"/>
    <n v="0"/>
    <n v="0"/>
    <x v="0"/>
    <x v="1"/>
  </r>
  <r>
    <n v="45"/>
    <x v="0"/>
    <x v="1"/>
    <x v="44"/>
    <n v="3"/>
    <d v="1899-12-30T00:00:00"/>
    <d v="1899-12-30T00:00:00"/>
    <x v="2"/>
    <d v="1899-12-31T06:30:00"/>
    <n v="110005"/>
    <n v="0"/>
    <n v="0"/>
    <x v="0"/>
    <x v="0"/>
  </r>
  <r>
    <n v="46"/>
    <x v="0"/>
    <x v="1"/>
    <x v="45"/>
    <n v="3"/>
    <d v="1899-12-30T00:00:00"/>
    <d v="1899-12-30T00:00:00"/>
    <x v="2"/>
    <d v="1899-12-31T06:30:00"/>
    <n v="110005"/>
    <n v="0"/>
    <n v="0"/>
    <x v="0"/>
    <x v="0"/>
  </r>
  <r>
    <n v="47"/>
    <x v="0"/>
    <x v="1"/>
    <x v="46"/>
    <n v="3"/>
    <d v="1899-12-30T00:00:00"/>
    <d v="1899-12-30T00:00:00"/>
    <x v="2"/>
    <d v="1899-12-31T06:30:00"/>
    <n v="110005"/>
    <n v="0"/>
    <n v="0"/>
    <x v="0"/>
    <x v="0"/>
  </r>
  <r>
    <n v="48"/>
    <x v="0"/>
    <x v="1"/>
    <x v="47"/>
    <n v="3"/>
    <d v="1899-12-30T00:00:00"/>
    <d v="1899-12-30T00:00:00"/>
    <x v="2"/>
    <d v="1899-12-31T06:30:00"/>
    <n v="110005"/>
    <n v="0"/>
    <n v="0"/>
    <x v="0"/>
    <x v="0"/>
  </r>
  <r>
    <n v="49"/>
    <x v="0"/>
    <x v="1"/>
    <x v="48"/>
    <n v="3"/>
    <d v="1899-12-30T00:00:00"/>
    <d v="1899-12-30T00:00:00"/>
    <x v="2"/>
    <d v="1899-12-31T06:30:00"/>
    <n v="110005"/>
    <n v="0"/>
    <n v="0"/>
    <x v="0"/>
    <x v="0"/>
  </r>
  <r>
    <n v="50"/>
    <x v="0"/>
    <x v="1"/>
    <x v="49"/>
    <s v="OFF"/>
    <d v="1899-12-30T00:00:00"/>
    <d v="1899-12-30T00:00:00"/>
    <x v="1"/>
    <d v="1899-12-30T00:00:00"/>
    <n v="0"/>
    <n v="0"/>
    <n v="0"/>
    <x v="0"/>
    <x v="1"/>
  </r>
  <r>
    <n v="51"/>
    <x v="0"/>
    <x v="1"/>
    <x v="50"/>
    <s v="OFF"/>
    <d v="1899-12-30T00:00:00"/>
    <d v="1899-12-30T00:00:00"/>
    <x v="1"/>
    <d v="1899-12-30T00:00:00"/>
    <n v="0"/>
    <n v="0"/>
    <n v="0"/>
    <x v="0"/>
    <x v="1"/>
  </r>
  <r>
    <n v="52"/>
    <x v="0"/>
    <x v="1"/>
    <x v="51"/>
    <n v="2"/>
    <d v="1899-12-30T00:00:00"/>
    <d v="1899-12-30T00:00:00"/>
    <x v="3"/>
    <d v="1899-12-30T22:30:00"/>
    <n v="110005"/>
    <n v="0"/>
    <n v="0"/>
    <x v="0"/>
    <x v="0"/>
  </r>
  <r>
    <n v="53"/>
    <x v="0"/>
    <x v="1"/>
    <x v="52"/>
    <n v="2"/>
    <d v="1899-12-30T00:00:00"/>
    <d v="1899-12-30T00:00:00"/>
    <x v="3"/>
    <d v="1899-12-30T22:30:00"/>
    <n v="110005"/>
    <n v="0"/>
    <n v="0"/>
    <x v="0"/>
    <x v="0"/>
  </r>
  <r>
    <n v="54"/>
    <x v="0"/>
    <x v="1"/>
    <x v="53"/>
    <n v="2"/>
    <d v="1899-12-30T00:00:00"/>
    <d v="1899-12-30T00:00:00"/>
    <x v="3"/>
    <d v="1899-12-30T22:30:00"/>
    <n v="110005"/>
    <n v="0"/>
    <n v="0"/>
    <x v="0"/>
    <x v="0"/>
  </r>
  <r>
    <n v="55"/>
    <x v="0"/>
    <x v="1"/>
    <x v="54"/>
    <n v="2"/>
    <d v="1899-12-30T00:00:00"/>
    <d v="1899-12-30T00:00:00"/>
    <x v="3"/>
    <d v="1899-12-30T22:30:00"/>
    <n v="110005"/>
    <n v="0"/>
    <n v="0"/>
    <x v="0"/>
    <x v="0"/>
  </r>
  <r>
    <n v="56"/>
    <x v="0"/>
    <x v="1"/>
    <x v="55"/>
    <n v="2"/>
    <d v="1899-12-30T00:00:00"/>
    <d v="1899-12-30T00:00:00"/>
    <x v="3"/>
    <d v="1899-12-30T22:30:00"/>
    <n v="110005"/>
    <n v="0"/>
    <n v="0"/>
    <x v="0"/>
    <x v="0"/>
  </r>
  <r>
    <n v="57"/>
    <x v="0"/>
    <x v="1"/>
    <x v="56"/>
    <s v="OFF"/>
    <d v="1899-12-30T00:00:00"/>
    <d v="1899-12-30T00:00:00"/>
    <x v="1"/>
    <d v="1899-12-30T00:00:00"/>
    <n v="0"/>
    <n v="0"/>
    <n v="0"/>
    <x v="0"/>
    <x v="1"/>
  </r>
  <r>
    <n v="58"/>
    <x v="0"/>
    <x v="1"/>
    <x v="57"/>
    <s v="OFF"/>
    <d v="1899-12-30T00:00:00"/>
    <d v="1899-12-30T00:00:00"/>
    <x v="1"/>
    <d v="1899-12-30T00:00:00"/>
    <n v="0"/>
    <n v="0"/>
    <n v="0"/>
    <x v="0"/>
    <x v="1"/>
  </r>
  <r>
    <n v="59"/>
    <x v="0"/>
    <x v="1"/>
    <x v="58"/>
    <s v="OFF"/>
    <d v="1899-12-30T00:00:00"/>
    <d v="1899-12-30T00:00:00"/>
    <x v="1"/>
    <d v="1899-12-30T00:00:00"/>
    <n v="0"/>
    <n v="0"/>
    <n v="0"/>
    <x v="0"/>
    <x v="1"/>
  </r>
  <r>
    <n v="60"/>
    <x v="0"/>
    <x v="1"/>
    <x v="59"/>
    <s v="OFF"/>
    <d v="1899-12-30T00:00:00"/>
    <d v="1899-12-30T00:00:00"/>
    <x v="1"/>
    <d v="1899-12-30T00:00:00"/>
    <n v="0"/>
    <n v="0"/>
    <n v="0"/>
    <x v="0"/>
    <x v="1"/>
  </r>
  <r>
    <n v="61"/>
    <x v="0"/>
    <x v="1"/>
    <x v="60"/>
    <n v="1"/>
    <d v="1899-12-30T00:00:00"/>
    <d v="1899-12-30T00:00:00"/>
    <x v="0"/>
    <d v="1899-12-30T14:30:00"/>
    <n v="110005"/>
    <n v="0"/>
    <n v="-110005"/>
    <x v="1"/>
    <x v="0"/>
  </r>
  <r>
    <n v="62"/>
    <x v="1"/>
    <x v="2"/>
    <x v="61"/>
    <n v="0"/>
    <d v="1899-12-30T00:00:00"/>
    <d v="1899-12-30T00:00:00"/>
    <x v="1"/>
    <d v="1899-12-30T00:00:00"/>
    <n v="0"/>
    <n v="0"/>
    <n v="0"/>
    <x v="0"/>
    <x v="2"/>
  </r>
  <r>
    <n v="63"/>
    <x v="1"/>
    <x v="2"/>
    <x v="62"/>
    <s v="OFF"/>
    <d v="1899-12-30T00:00:00"/>
    <d v="1899-12-30T00:00:00"/>
    <x v="1"/>
    <d v="1899-12-30T00:00:00"/>
    <n v="0"/>
    <n v="0"/>
    <n v="0"/>
    <x v="0"/>
    <x v="1"/>
  </r>
  <r>
    <n v="64"/>
    <x v="1"/>
    <x v="2"/>
    <x v="63"/>
    <s v="OFF"/>
    <d v="1899-12-30T00:00:00"/>
    <d v="1899-12-30T00:00:00"/>
    <x v="1"/>
    <d v="1899-12-30T00:00:00"/>
    <n v="0"/>
    <n v="0"/>
    <n v="0"/>
    <x v="0"/>
    <x v="1"/>
  </r>
  <r>
    <n v="65"/>
    <x v="1"/>
    <x v="2"/>
    <x v="64"/>
    <n v="3"/>
    <d v="1899-12-30T00:00:00"/>
    <d v="1899-12-30T00:00:00"/>
    <x v="2"/>
    <d v="1899-12-31T06:30:00"/>
    <n v="133640"/>
    <n v="0"/>
    <n v="0"/>
    <x v="0"/>
    <x v="0"/>
  </r>
  <r>
    <n v="66"/>
    <x v="1"/>
    <x v="2"/>
    <x v="65"/>
    <n v="3"/>
    <d v="1899-12-30T00:00:00"/>
    <d v="1899-12-30T00:00:00"/>
    <x v="2"/>
    <d v="1899-12-31T06:30:00"/>
    <n v="133640"/>
    <n v="0"/>
    <n v="0"/>
    <x v="0"/>
    <x v="0"/>
  </r>
  <r>
    <n v="67"/>
    <x v="1"/>
    <x v="2"/>
    <x v="66"/>
    <n v="3"/>
    <d v="1899-12-30T00:00:00"/>
    <d v="1899-12-30T00:00:00"/>
    <x v="2"/>
    <d v="1899-12-31T06:30:00"/>
    <n v="133640"/>
    <n v="0"/>
    <n v="0"/>
    <x v="0"/>
    <x v="0"/>
  </r>
  <r>
    <n v="68"/>
    <x v="1"/>
    <x v="2"/>
    <x v="67"/>
    <n v="3"/>
    <d v="1899-12-30T00:00:00"/>
    <d v="1899-12-30T00:00:00"/>
    <x v="2"/>
    <d v="1899-12-31T06:30:00"/>
    <n v="133640"/>
    <n v="0"/>
    <n v="0"/>
    <x v="0"/>
    <x v="0"/>
  </r>
  <r>
    <n v="69"/>
    <x v="1"/>
    <x v="2"/>
    <x v="68"/>
    <n v="3"/>
    <d v="1899-12-30T00:00:00"/>
    <d v="1899-12-30T00:00:00"/>
    <x v="2"/>
    <d v="1899-12-31T06:30:00"/>
    <n v="133640"/>
    <n v="0"/>
    <n v="0"/>
    <x v="0"/>
    <x v="0"/>
  </r>
  <r>
    <n v="70"/>
    <x v="1"/>
    <x v="2"/>
    <x v="69"/>
    <s v="OFF"/>
    <d v="1899-12-30T00:00:00"/>
    <d v="1899-12-30T00:00:00"/>
    <x v="1"/>
    <d v="1899-12-30T00:00:00"/>
    <n v="0"/>
    <n v="0"/>
    <n v="0"/>
    <x v="0"/>
    <x v="1"/>
  </r>
  <r>
    <n v="71"/>
    <x v="1"/>
    <x v="2"/>
    <x v="70"/>
    <s v="OFF"/>
    <d v="1899-12-30T00:00:00"/>
    <d v="1899-12-30T00:00:00"/>
    <x v="1"/>
    <d v="1899-12-30T00:00:00"/>
    <n v="0"/>
    <n v="0"/>
    <n v="0"/>
    <x v="0"/>
    <x v="1"/>
  </r>
  <r>
    <n v="72"/>
    <x v="1"/>
    <x v="2"/>
    <x v="71"/>
    <n v="2"/>
    <d v="1899-12-30T00:00:00"/>
    <d v="1899-12-30T00:00:00"/>
    <x v="3"/>
    <d v="1899-12-30T22:30:00"/>
    <n v="133640"/>
    <n v="0"/>
    <n v="0"/>
    <x v="0"/>
    <x v="0"/>
  </r>
  <r>
    <n v="73"/>
    <x v="1"/>
    <x v="2"/>
    <x v="72"/>
    <n v="2"/>
    <d v="1899-12-30T00:00:00"/>
    <d v="1899-12-30T00:00:00"/>
    <x v="3"/>
    <d v="1899-12-30T22:30:00"/>
    <n v="133640"/>
    <n v="0"/>
    <n v="0"/>
    <x v="0"/>
    <x v="0"/>
  </r>
  <r>
    <n v="74"/>
    <x v="1"/>
    <x v="2"/>
    <x v="73"/>
    <n v="2"/>
    <d v="1899-12-30T00:00:00"/>
    <d v="1899-12-30T00:00:00"/>
    <x v="3"/>
    <d v="1899-12-30T22:30:00"/>
    <n v="133640"/>
    <n v="0"/>
    <n v="0"/>
    <x v="0"/>
    <x v="0"/>
  </r>
  <r>
    <n v="75"/>
    <x v="1"/>
    <x v="2"/>
    <x v="74"/>
    <n v="2"/>
    <d v="1899-12-30T00:00:00"/>
    <d v="1899-12-30T00:00:00"/>
    <x v="3"/>
    <d v="1899-12-30T22:30:00"/>
    <n v="133640"/>
    <n v="0"/>
    <n v="0"/>
    <x v="0"/>
    <x v="0"/>
  </r>
  <r>
    <n v="76"/>
    <x v="1"/>
    <x v="2"/>
    <x v="75"/>
    <n v="2"/>
    <d v="1899-12-30T00:00:00"/>
    <d v="1899-12-30T00:00:00"/>
    <x v="3"/>
    <d v="1899-12-30T22:30:00"/>
    <n v="133640"/>
    <n v="0"/>
    <n v="0"/>
    <x v="0"/>
    <x v="0"/>
  </r>
  <r>
    <n v="77"/>
    <x v="1"/>
    <x v="2"/>
    <x v="76"/>
    <s v="OFF"/>
    <d v="1899-12-30T00:00:00"/>
    <d v="1899-12-30T00:00:00"/>
    <x v="1"/>
    <d v="1899-12-30T00:00:00"/>
    <n v="0"/>
    <n v="0"/>
    <n v="0"/>
    <x v="0"/>
    <x v="1"/>
  </r>
  <r>
    <n v="78"/>
    <x v="1"/>
    <x v="2"/>
    <x v="77"/>
    <n v="1"/>
    <d v="1899-12-30T00:00:00"/>
    <d v="1899-12-30T00:00:00"/>
    <x v="0"/>
    <d v="1899-12-30T14:30:00"/>
    <n v="133640"/>
    <n v="0"/>
    <n v="0"/>
    <x v="0"/>
    <x v="0"/>
  </r>
  <r>
    <n v="79"/>
    <x v="1"/>
    <x v="2"/>
    <x v="78"/>
    <n v="1"/>
    <d v="1899-12-30T00:00:00"/>
    <d v="1899-12-30T00:00:00"/>
    <x v="0"/>
    <d v="1899-12-30T14:30:00"/>
    <n v="133640"/>
    <n v="0"/>
    <n v="0"/>
    <x v="0"/>
    <x v="0"/>
  </r>
  <r>
    <n v="80"/>
    <x v="1"/>
    <x v="2"/>
    <x v="79"/>
    <n v="1"/>
    <d v="1899-12-30T00:00:00"/>
    <d v="1899-12-30T00:00:00"/>
    <x v="0"/>
    <d v="1899-12-30T14:30:00"/>
    <n v="133640"/>
    <n v="0"/>
    <n v="0"/>
    <x v="0"/>
    <x v="0"/>
  </r>
  <r>
    <n v="81"/>
    <x v="1"/>
    <x v="2"/>
    <x v="80"/>
    <n v="1"/>
    <d v="1899-12-30T00:00:00"/>
    <d v="1899-12-30T00:00:00"/>
    <x v="0"/>
    <d v="1899-12-30T14:30:00"/>
    <n v="133640"/>
    <n v="0"/>
    <n v="0"/>
    <x v="0"/>
    <x v="0"/>
  </r>
  <r>
    <n v="82"/>
    <x v="1"/>
    <x v="2"/>
    <x v="81"/>
    <n v="1"/>
    <d v="1899-12-30T00:00:00"/>
    <d v="1899-12-30T00:00:00"/>
    <x v="0"/>
    <d v="1899-12-30T14:30:00"/>
    <n v="133640"/>
    <n v="0"/>
    <n v="0"/>
    <x v="0"/>
    <x v="0"/>
  </r>
  <r>
    <n v="83"/>
    <x v="1"/>
    <x v="2"/>
    <x v="82"/>
    <s v="OFF"/>
    <d v="1899-12-30T00:00:00"/>
    <d v="1899-12-30T00:00:00"/>
    <x v="1"/>
    <d v="1899-12-30T00:00:00"/>
    <n v="0"/>
    <n v="0"/>
    <n v="0"/>
    <x v="0"/>
    <x v="1"/>
  </r>
  <r>
    <n v="84"/>
    <x v="1"/>
    <x v="2"/>
    <x v="83"/>
    <s v="OFF"/>
    <d v="1899-12-30T00:00:00"/>
    <d v="1899-12-30T00:00:00"/>
    <x v="1"/>
    <d v="1899-12-30T00:00:00"/>
    <n v="0"/>
    <n v="0"/>
    <n v="0"/>
    <x v="0"/>
    <x v="1"/>
  </r>
  <r>
    <n v="85"/>
    <x v="1"/>
    <x v="2"/>
    <x v="84"/>
    <n v="3"/>
    <d v="1899-12-30T00:00:00"/>
    <d v="1899-12-30T00:00:00"/>
    <x v="2"/>
    <d v="1899-12-31T06:30:00"/>
    <n v="133640"/>
    <n v="0"/>
    <n v="0"/>
    <x v="0"/>
    <x v="0"/>
  </r>
  <r>
    <n v="86"/>
    <x v="1"/>
    <x v="2"/>
    <x v="85"/>
    <n v="3"/>
    <d v="1899-12-30T00:00:00"/>
    <d v="1899-12-30T00:00:00"/>
    <x v="2"/>
    <d v="1899-12-31T06:30:00"/>
    <n v="133640"/>
    <n v="0"/>
    <n v="0"/>
    <x v="0"/>
    <x v="0"/>
  </r>
  <r>
    <n v="87"/>
    <x v="1"/>
    <x v="2"/>
    <x v="86"/>
    <n v="3"/>
    <d v="1899-12-30T00:00:00"/>
    <d v="1899-12-30T00:00:00"/>
    <x v="2"/>
    <d v="1899-12-31T06:30:00"/>
    <n v="133640"/>
    <n v="0"/>
    <n v="0"/>
    <x v="0"/>
    <x v="0"/>
  </r>
  <r>
    <n v="88"/>
    <x v="1"/>
    <x v="2"/>
    <x v="87"/>
    <n v="3"/>
    <d v="1899-12-30T00:00:00"/>
    <d v="1899-12-30T00:00:00"/>
    <x v="2"/>
    <d v="1899-12-31T06:30:00"/>
    <n v="133640"/>
    <n v="0"/>
    <n v="0"/>
    <x v="0"/>
    <x v="0"/>
  </r>
  <r>
    <n v="89"/>
    <x v="1"/>
    <x v="2"/>
    <x v="88"/>
    <n v="3"/>
    <d v="1899-12-30T07:00:00"/>
    <d v="1899-12-30T01:00:00"/>
    <x v="2"/>
    <d v="1899-12-31T06:00:00"/>
    <n v="0"/>
    <n v="237927"/>
    <n v="0"/>
    <x v="0"/>
    <x v="3"/>
  </r>
  <r>
    <n v="90"/>
    <x v="1"/>
    <x v="2"/>
    <x v="89"/>
    <s v="OFF"/>
    <d v="1899-12-30T00:00:00"/>
    <d v="1899-12-30T00:00:00"/>
    <x v="1"/>
    <d v="1899-12-30T00:00:00"/>
    <n v="0"/>
    <n v="0"/>
    <n v="0"/>
    <x v="0"/>
    <x v="1"/>
  </r>
  <r>
    <n v="91"/>
    <x v="1"/>
    <x v="2"/>
    <x v="90"/>
    <s v="OFF"/>
    <d v="1899-12-30T00:00:00"/>
    <d v="1899-12-30T00:00:00"/>
    <x v="1"/>
    <d v="1899-12-30T00:00:00"/>
    <n v="0"/>
    <n v="0"/>
    <n v="0"/>
    <x v="0"/>
    <x v="1"/>
  </r>
  <r>
    <n v="92"/>
    <x v="1"/>
    <x v="2"/>
    <x v="91"/>
    <n v="2"/>
    <d v="1899-12-30T00:00:00"/>
    <d v="1899-12-30T00:00:00"/>
    <x v="3"/>
    <d v="1899-12-30T22:30:00"/>
    <n v="133640"/>
    <n v="0"/>
    <n v="-117640"/>
    <x v="2"/>
    <x v="0"/>
  </r>
  <r>
    <n v="93"/>
    <x v="1"/>
    <x v="3"/>
    <x v="92"/>
    <n v="2"/>
    <d v="1899-12-30T00:00:00"/>
    <d v="1899-12-30T00:00:00"/>
    <x v="3"/>
    <d v="1899-12-30T22:30:00"/>
    <n v="133640"/>
    <n v="0"/>
    <n v="0"/>
    <x v="0"/>
    <x v="0"/>
  </r>
  <r>
    <n v="94"/>
    <x v="1"/>
    <x v="3"/>
    <x v="93"/>
    <n v="2"/>
    <d v="1899-12-30T00:00:00"/>
    <d v="1899-12-30T00:00:00"/>
    <x v="3"/>
    <d v="1899-12-30T22:30:00"/>
    <n v="133640"/>
    <n v="0"/>
    <n v="0"/>
    <x v="0"/>
    <x v="0"/>
  </r>
  <r>
    <n v="95"/>
    <x v="1"/>
    <x v="3"/>
    <x v="94"/>
    <n v="2"/>
    <d v="1899-12-30T00:00:00"/>
    <d v="1899-12-30T00:00:00"/>
    <x v="3"/>
    <d v="1899-12-30T22:30:00"/>
    <n v="133640"/>
    <n v="0"/>
    <n v="0"/>
    <x v="0"/>
    <x v="0"/>
  </r>
  <r>
    <n v="96"/>
    <x v="1"/>
    <x v="3"/>
    <x v="95"/>
    <n v="2"/>
    <d v="1899-12-30T00:00:00"/>
    <d v="1899-12-30T00:00:00"/>
    <x v="3"/>
    <d v="1899-12-30T22:30:00"/>
    <n v="133640"/>
    <n v="0"/>
    <n v="0"/>
    <x v="0"/>
    <x v="0"/>
  </r>
  <r>
    <n v="97"/>
    <x v="1"/>
    <x v="3"/>
    <x v="96"/>
    <s v="OFF"/>
    <d v="1899-12-30T00:00:00"/>
    <d v="1899-12-30T00:00:00"/>
    <x v="1"/>
    <d v="1899-12-30T00:00:00"/>
    <n v="0"/>
    <n v="0"/>
    <n v="0"/>
    <x v="0"/>
    <x v="1"/>
  </r>
  <r>
    <n v="98"/>
    <x v="1"/>
    <x v="3"/>
    <x v="97"/>
    <n v="1"/>
    <d v="1899-12-30T00:00:00"/>
    <d v="1899-12-30T00:00:00"/>
    <x v="0"/>
    <d v="1899-12-30T14:30:00"/>
    <n v="133640"/>
    <n v="0"/>
    <n v="0"/>
    <x v="0"/>
    <x v="0"/>
  </r>
  <r>
    <n v="99"/>
    <x v="1"/>
    <x v="3"/>
    <x v="98"/>
    <n v="1"/>
    <d v="1899-12-30T00:00:00"/>
    <d v="1899-12-30T00:00:00"/>
    <x v="0"/>
    <d v="1899-12-30T14:30:00"/>
    <n v="133640"/>
    <n v="0"/>
    <n v="0"/>
    <x v="0"/>
    <x v="0"/>
  </r>
  <r>
    <n v="100"/>
    <x v="1"/>
    <x v="3"/>
    <x v="99"/>
    <n v="1"/>
    <d v="1899-12-30T00:00:00"/>
    <d v="1899-12-30T00:00:00"/>
    <x v="0"/>
    <d v="1899-12-30T14:30:00"/>
    <n v="133640"/>
    <n v="0"/>
    <n v="0"/>
    <x v="0"/>
    <x v="0"/>
  </r>
  <r>
    <n v="101"/>
    <x v="1"/>
    <x v="3"/>
    <x v="100"/>
    <n v="1"/>
    <d v="1899-12-30T00:00:00"/>
    <d v="1899-12-30T00:00:00"/>
    <x v="0"/>
    <d v="1899-12-30T14:30:00"/>
    <n v="133640"/>
    <n v="0"/>
    <n v="0"/>
    <x v="0"/>
    <x v="0"/>
  </r>
  <r>
    <n v="102"/>
    <x v="1"/>
    <x v="3"/>
    <x v="101"/>
    <n v="1"/>
    <d v="1899-12-30T00:00:00"/>
    <d v="1899-12-30T00:00:00"/>
    <x v="0"/>
    <d v="1899-12-30T14:30:00"/>
    <n v="133640"/>
    <n v="0"/>
    <n v="0"/>
    <x v="0"/>
    <x v="0"/>
  </r>
  <r>
    <n v="103"/>
    <x v="1"/>
    <x v="3"/>
    <x v="102"/>
    <s v="OFF"/>
    <d v="1899-12-30T00:00:00"/>
    <d v="1899-12-30T00:00:00"/>
    <x v="1"/>
    <d v="1899-12-30T00:00:00"/>
    <n v="0"/>
    <n v="0"/>
    <n v="0"/>
    <x v="0"/>
    <x v="1"/>
  </r>
  <r>
    <n v="104"/>
    <x v="1"/>
    <x v="3"/>
    <x v="103"/>
    <s v="OFF"/>
    <d v="1899-12-30T00:00:00"/>
    <d v="1899-12-30T00:00:00"/>
    <x v="1"/>
    <d v="1899-12-30T00:00:00"/>
    <n v="0"/>
    <n v="0"/>
    <n v="0"/>
    <x v="0"/>
    <x v="1"/>
  </r>
  <r>
    <n v="105"/>
    <x v="1"/>
    <x v="3"/>
    <x v="104"/>
    <n v="3"/>
    <d v="1899-12-30T00:00:00"/>
    <d v="1899-12-30T00:00:00"/>
    <x v="2"/>
    <d v="1899-12-31T06:30:00"/>
    <n v="133640"/>
    <n v="0"/>
    <n v="0"/>
    <x v="0"/>
    <x v="0"/>
  </r>
  <r>
    <n v="106"/>
    <x v="1"/>
    <x v="3"/>
    <x v="105"/>
    <n v="3"/>
    <d v="1899-12-30T00:00:00"/>
    <d v="1899-12-30T00:00:00"/>
    <x v="2"/>
    <d v="1899-12-31T06:30:00"/>
    <n v="133640"/>
    <n v="0"/>
    <n v="0"/>
    <x v="0"/>
    <x v="0"/>
  </r>
  <r>
    <n v="107"/>
    <x v="1"/>
    <x v="3"/>
    <x v="106"/>
    <n v="3"/>
    <d v="1899-12-30T00:00:00"/>
    <d v="1899-12-30T00:00:00"/>
    <x v="2"/>
    <d v="1899-12-31T06:30:00"/>
    <n v="133640"/>
    <n v="0"/>
    <n v="0"/>
    <x v="0"/>
    <x v="0"/>
  </r>
  <r>
    <n v="108"/>
    <x v="1"/>
    <x v="3"/>
    <x v="107"/>
    <n v="3"/>
    <d v="1899-12-30T00:00:00"/>
    <d v="1899-12-30T00:00:00"/>
    <x v="2"/>
    <d v="1899-12-31T06:30:00"/>
    <n v="133640"/>
    <n v="0"/>
    <n v="0"/>
    <x v="0"/>
    <x v="0"/>
  </r>
  <r>
    <n v="109"/>
    <x v="1"/>
    <x v="3"/>
    <x v="108"/>
    <n v="3"/>
    <d v="1899-12-30T00:00:00"/>
    <d v="1899-12-30T00:00:00"/>
    <x v="2"/>
    <d v="1899-12-31T06:30:00"/>
    <n v="133640"/>
    <n v="0"/>
    <n v="0"/>
    <x v="0"/>
    <x v="0"/>
  </r>
  <r>
    <n v="110"/>
    <x v="1"/>
    <x v="3"/>
    <x v="109"/>
    <s v="OFF"/>
    <d v="1899-12-30T00:00:00"/>
    <d v="1899-12-30T00:00:00"/>
    <x v="1"/>
    <d v="1899-12-30T00:00:00"/>
    <n v="0"/>
    <n v="0"/>
    <n v="0"/>
    <x v="0"/>
    <x v="1"/>
  </r>
  <r>
    <n v="111"/>
    <x v="1"/>
    <x v="3"/>
    <x v="110"/>
    <s v="OFF"/>
    <d v="1899-12-30T00:00:00"/>
    <d v="1899-12-30T00:00:00"/>
    <x v="1"/>
    <d v="1899-12-30T00:00:00"/>
    <n v="0"/>
    <n v="0"/>
    <n v="0"/>
    <x v="0"/>
    <x v="1"/>
  </r>
  <r>
    <n v="112"/>
    <x v="1"/>
    <x v="3"/>
    <x v="111"/>
    <n v="2"/>
    <d v="1899-12-30T00:00:00"/>
    <d v="1899-12-30T00:00:00"/>
    <x v="3"/>
    <d v="1899-12-30T22:30:00"/>
    <n v="133640"/>
    <n v="0"/>
    <n v="0"/>
    <x v="0"/>
    <x v="0"/>
  </r>
  <r>
    <n v="113"/>
    <x v="1"/>
    <x v="3"/>
    <x v="112"/>
    <n v="2"/>
    <d v="1899-12-30T00:00:00"/>
    <d v="1899-12-30T00:00:00"/>
    <x v="3"/>
    <d v="1899-12-30T22:30:00"/>
    <n v="133640"/>
    <n v="0"/>
    <n v="0"/>
    <x v="0"/>
    <x v="0"/>
  </r>
  <r>
    <n v="114"/>
    <x v="1"/>
    <x v="3"/>
    <x v="113"/>
    <n v="2"/>
    <d v="1899-12-30T00:00:00"/>
    <d v="1899-12-30T00:00:00"/>
    <x v="3"/>
    <d v="1899-12-30T22:30:00"/>
    <n v="133640"/>
    <n v="0"/>
    <n v="0"/>
    <x v="0"/>
    <x v="0"/>
  </r>
  <r>
    <n v="115"/>
    <x v="1"/>
    <x v="3"/>
    <x v="114"/>
    <n v="2"/>
    <d v="1899-12-30T00:00:00"/>
    <d v="1899-12-30T00:00:00"/>
    <x v="3"/>
    <d v="1899-12-30T22:30:00"/>
    <n v="133640"/>
    <n v="0"/>
    <n v="-117640"/>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F883D9-2D1E-4C17-A897-05E6C7EDA82B}" name="PivotTable23"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E22:F26" firstHeaderRow="1" firstDataRow="1" firstDataCol="1"/>
  <pivotFields count="20">
    <pivotField numFmtId="1" showAll="0"/>
    <pivotField showAll="0">
      <items count="3">
        <item x="0"/>
        <item x="1"/>
        <item t="default"/>
      </items>
    </pivotField>
    <pivotField showAll="0">
      <items count="39">
        <item x="2"/>
        <item x="3"/>
        <item m="1" x="4"/>
        <item m="1" x="5"/>
        <item m="1" x="6"/>
        <item m="1" x="7"/>
        <item m="1" x="8"/>
        <item m="1" x="9"/>
        <item m="1" x="10"/>
        <item m="1" x="11"/>
        <item x="0"/>
        <item x="1"/>
        <item m="1" x="13"/>
        <item m="1" x="12"/>
        <item m="1" x="17"/>
        <item m="1" x="21"/>
        <item m="1" x="15"/>
        <item m="1" x="14"/>
        <item m="1" x="20"/>
        <item m="1" x="19"/>
        <item m="1" x="16"/>
        <item m="1" x="18"/>
        <item m="1" x="24"/>
        <item m="1" x="23"/>
        <item m="1" x="22"/>
        <item m="1" x="30"/>
        <item m="1" x="34"/>
        <item m="1" x="26"/>
        <item m="1" x="28"/>
        <item m="1" x="27"/>
        <item m="1" x="33"/>
        <item m="1" x="32"/>
        <item m="1" x="29"/>
        <item m="1" x="31"/>
        <item m="1" x="25"/>
        <item m="1" x="37"/>
        <item m="1" x="36"/>
        <item m="1" x="35"/>
        <item t="default"/>
      </items>
    </pivotField>
    <pivotField numFmtId="14" showAll="0">
      <items count="1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showAll="0"/>
    <pivotField numFmtId="165" showAll="0"/>
    <pivotField numFmtId="165" showAll="0"/>
    <pivotField numFmtId="165" showAll="0">
      <items count="5">
        <item x="1"/>
        <item x="0"/>
        <item x="3"/>
        <item x="2"/>
        <item t="default"/>
      </items>
    </pivotField>
    <pivotField numFmtId="165" showAll="0"/>
    <pivotField numFmtId="166" showAll="0"/>
    <pivotField numFmtId="166" showAll="0"/>
    <pivotField dataField="1" numFmtId="166" showAll="0"/>
    <pivotField axis="axisRow" showAll="0">
      <items count="8">
        <item m="1" x="6"/>
        <item h="1" x="0"/>
        <item x="1"/>
        <item x="2"/>
        <item x="3"/>
        <item m="1" x="4"/>
        <item m="1" x="5"/>
        <item t="default"/>
      </items>
    </pivotField>
    <pivotField showAl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2"/>
  </rowFields>
  <rowItems count="4">
    <i>
      <x v="2"/>
    </i>
    <i>
      <x v="3"/>
    </i>
    <i>
      <x v="4"/>
    </i>
    <i t="grand">
      <x/>
    </i>
  </rowItems>
  <colItems count="1">
    <i/>
  </colItems>
  <dataFields count="1">
    <dataField name="Sum of Deduction" fld="11" baseField="12" baseItem="3" numFmtId="166"/>
  </dataFields>
  <chartFormats count="3">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2" count="1" selected="0">
            <x v="3"/>
          </reference>
        </references>
      </pivotArea>
    </chartFormat>
    <chartFormat chart="6" format="11">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726CAD-B0A9-4488-87AA-B4C2179FC435}" name="PivotTable14" cacheId="9"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location ref="E7:F11" firstHeaderRow="1" firstDataRow="1" firstDataCol="1"/>
  <pivotFields count="20">
    <pivotField showAll="0"/>
    <pivotField showAll="0">
      <items count="3">
        <item x="0"/>
        <item x="1"/>
        <item t="default"/>
      </items>
    </pivotField>
    <pivotField axis="axisRow" showAll="0" sortType="ascending">
      <items count="39">
        <item x="2"/>
        <item x="3"/>
        <item m="1" x="4"/>
        <item m="1" x="5"/>
        <item m="1" x="6"/>
        <item m="1" x="7"/>
        <item m="1" x="8"/>
        <item m="1" x="9"/>
        <item m="1" x="10"/>
        <item m="1" x="11"/>
        <item x="0"/>
        <item x="1"/>
        <item m="1" x="13"/>
        <item m="1" x="12"/>
        <item m="1" x="17"/>
        <item m="1" x="21"/>
        <item m="1" x="15"/>
        <item m="1" x="14"/>
        <item m="1" x="20"/>
        <item m="1" x="19"/>
        <item m="1" x="16"/>
        <item m="1" x="18"/>
        <item m="1" x="24"/>
        <item m="1" x="23"/>
        <item m="1" x="22"/>
        <item m="1" x="30"/>
        <item m="1" x="34"/>
        <item m="1" x="26"/>
        <item m="1" x="28"/>
        <item m="1" x="27"/>
        <item m="1" x="33"/>
        <item m="1" x="32"/>
        <item m="1" x="29"/>
        <item m="1" x="31"/>
        <item m="1" x="25"/>
        <item m="1" x="37"/>
        <item m="1" x="36"/>
        <item m="1" x="35"/>
        <item t="default"/>
      </items>
    </pivotField>
    <pivotField numFmtId="14" showAll="0">
      <items count="1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showAll="0"/>
    <pivotField numFmtId="165" showAll="0"/>
    <pivotField numFmtId="165" showAll="0"/>
    <pivotField showAll="0">
      <items count="5">
        <item x="1"/>
        <item x="0"/>
        <item x="3"/>
        <item x="2"/>
        <item t="default"/>
      </items>
    </pivotField>
    <pivotField showAll="0"/>
    <pivotField numFmtId="166" showAll="0"/>
    <pivotField numFmtId="166" showAll="0"/>
    <pivotField numFmtId="166"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ataField="1" dragToRow="0" dragToCol="0" dragToPage="0" showAll="0" defaultSubtota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10"/>
    </i>
    <i>
      <x v="11"/>
    </i>
  </rowItems>
  <colItems count="1">
    <i/>
  </colItems>
  <dataFields count="1">
    <dataField name="Sum of Net Salary" fld="17" baseField="0" baseItem="0" numFmtId="166"/>
  </dataFields>
  <formats count="1">
    <format dxfId="3">
      <pivotArea outline="0" collapsedLevelsAreSubtotals="1" fieldPosition="0"/>
    </format>
  </formats>
  <chartFormats count="13">
    <chartFormat chart="8" format="2"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2" count="1" selected="0">
            <x v="0"/>
          </reference>
        </references>
      </pivotArea>
    </chartFormat>
    <chartFormat chart="8" format="21">
      <pivotArea type="data" outline="0" fieldPosition="0">
        <references count="2">
          <reference field="4294967294" count="1" selected="0">
            <x v="0"/>
          </reference>
          <reference field="2" count="1" selected="0">
            <x v="1"/>
          </reference>
        </references>
      </pivotArea>
    </chartFormat>
    <chartFormat chart="8" format="22">
      <pivotArea type="data" outline="0" fieldPosition="0">
        <references count="2">
          <reference field="4294967294" count="1" selected="0">
            <x v="0"/>
          </reference>
          <reference field="2" count="1" selected="0">
            <x v="2"/>
          </reference>
        </references>
      </pivotArea>
    </chartFormat>
    <chartFormat chart="8" format="23">
      <pivotArea type="data" outline="0" fieldPosition="0">
        <references count="2">
          <reference field="4294967294" count="1" selected="0">
            <x v="0"/>
          </reference>
          <reference field="2" count="1" selected="0">
            <x v="3"/>
          </reference>
        </references>
      </pivotArea>
    </chartFormat>
    <chartFormat chart="8" format="24">
      <pivotArea type="data" outline="0" fieldPosition="0">
        <references count="2">
          <reference field="4294967294" count="1" selected="0">
            <x v="0"/>
          </reference>
          <reference field="2" count="1" selected="0">
            <x v="4"/>
          </reference>
        </references>
      </pivotArea>
    </chartFormat>
    <chartFormat chart="8" format="25">
      <pivotArea type="data" outline="0" fieldPosition="0">
        <references count="2">
          <reference field="4294967294" count="1" selected="0">
            <x v="0"/>
          </reference>
          <reference field="2" count="1" selected="0">
            <x v="5"/>
          </reference>
        </references>
      </pivotArea>
    </chartFormat>
    <chartFormat chart="8" format="26">
      <pivotArea type="data" outline="0" fieldPosition="0">
        <references count="2">
          <reference field="4294967294" count="1" selected="0">
            <x v="0"/>
          </reference>
          <reference field="2" count="1" selected="0">
            <x v="6"/>
          </reference>
        </references>
      </pivotArea>
    </chartFormat>
    <chartFormat chart="8" format="27">
      <pivotArea type="data" outline="0" fieldPosition="0">
        <references count="2">
          <reference field="4294967294" count="1" selected="0">
            <x v="0"/>
          </reference>
          <reference field="2" count="1" selected="0">
            <x v="7"/>
          </reference>
        </references>
      </pivotArea>
    </chartFormat>
    <chartFormat chart="8" format="28">
      <pivotArea type="data" outline="0" fieldPosition="0">
        <references count="2">
          <reference field="4294967294" count="1" selected="0">
            <x v="0"/>
          </reference>
          <reference field="2" count="1" selected="0">
            <x v="8"/>
          </reference>
        </references>
      </pivotArea>
    </chartFormat>
    <chartFormat chart="8" format="29">
      <pivotArea type="data" outline="0" fieldPosition="0">
        <references count="2">
          <reference field="4294967294" count="1" selected="0">
            <x v="0"/>
          </reference>
          <reference field="2" count="1" selected="0">
            <x v="9"/>
          </reference>
        </references>
      </pivotArea>
    </chartFormat>
    <chartFormat chart="8" format="30">
      <pivotArea type="data" outline="0" fieldPosition="0">
        <references count="2">
          <reference field="4294967294" count="1" selected="0">
            <x v="0"/>
          </reference>
          <reference field="2" count="1" selected="0">
            <x v="10"/>
          </reference>
        </references>
      </pivotArea>
    </chartFormat>
    <chartFormat chart="8" format="31">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CFA01E-B4D8-4A74-921D-D4129F0BEBBE}"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2" firstHeaderRow="0" firstDataRow="1" firstDataCol="0"/>
  <pivotFields count="20">
    <pivotField showAll="0"/>
    <pivotField showAll="0">
      <items count="3">
        <item x="0"/>
        <item x="1"/>
        <item t="default"/>
      </items>
    </pivotField>
    <pivotField dataField="1" showAll="0">
      <items count="39">
        <item x="2"/>
        <item x="3"/>
        <item m="1" x="4"/>
        <item m="1" x="5"/>
        <item m="1" x="6"/>
        <item m="1" x="7"/>
        <item m="1" x="8"/>
        <item m="1" x="9"/>
        <item m="1" x="10"/>
        <item m="1" x="11"/>
        <item x="0"/>
        <item x="1"/>
        <item m="1" x="13"/>
        <item m="1" x="12"/>
        <item m="1" x="17"/>
        <item m="1" x="21"/>
        <item m="1" x="15"/>
        <item m="1" x="14"/>
        <item m="1" x="20"/>
        <item m="1" x="19"/>
        <item m="1" x="16"/>
        <item m="1" x="18"/>
        <item m="1" x="24"/>
        <item m="1" x="23"/>
        <item m="1" x="22"/>
        <item m="1" x="30"/>
        <item m="1" x="34"/>
        <item m="1" x="26"/>
        <item m="1" x="28"/>
        <item m="1" x="27"/>
        <item m="1" x="33"/>
        <item m="1" x="32"/>
        <item m="1" x="29"/>
        <item m="1" x="31"/>
        <item m="1" x="25"/>
        <item m="1" x="37"/>
        <item m="1" x="36"/>
        <item m="1" x="35"/>
        <item t="default"/>
      </items>
    </pivotField>
    <pivotField numFmtId="14" showAll="0">
      <items count="1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dataField="1" showAll="0"/>
    <pivotField numFmtId="165" showAll="0"/>
    <pivotField numFmtId="165" showAll="0"/>
    <pivotField showAll="0">
      <items count="5">
        <item x="1"/>
        <item x="0"/>
        <item x="3"/>
        <item x="2"/>
        <item t="default"/>
      </items>
    </pivotField>
    <pivotField showAll="0"/>
    <pivotField numFmtId="166" showAll="0"/>
    <pivotField numFmtId="166" showAll="0"/>
    <pivotField numFmtId="166"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h="1" x="0"/>
        <item h="1" x="1"/>
        <item x="2"/>
        <item h="1" x="3"/>
        <item t="default"/>
      </items>
    </pivotField>
    <pivotField dragToRow="0" dragToCol="0" dragToPage="0" showAll="0" defaultSubtota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2">
    <i>
      <x/>
    </i>
    <i i="1">
      <x v="1"/>
    </i>
  </colItems>
  <dataFields count="2">
    <dataField name="Calender Days" fld="2" subtotal="count" baseField="0" baseItem="0"/>
    <dataField name="Total Working Days" fld="4" subtotal="countNums"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A147B8-BFA4-4457-B926-147F980FDBD3}" name="PivotTable15"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J1:K6" firstHeaderRow="1" firstDataRow="1" firstDataCol="1"/>
  <pivotFields count="20">
    <pivotField showAll="0"/>
    <pivotField showAll="0">
      <items count="3">
        <item x="0"/>
        <item x="1"/>
        <item t="default"/>
      </items>
    </pivotField>
    <pivotField showAll="0">
      <items count="39">
        <item x="2"/>
        <item x="3"/>
        <item m="1" x="4"/>
        <item m="1" x="5"/>
        <item m="1" x="6"/>
        <item m="1" x="7"/>
        <item m="1" x="8"/>
        <item m="1" x="9"/>
        <item m="1" x="10"/>
        <item m="1" x="11"/>
        <item x="0"/>
        <item x="1"/>
        <item m="1" x="13"/>
        <item m="1" x="12"/>
        <item m="1" x="17"/>
        <item m="1" x="21"/>
        <item m="1" x="15"/>
        <item m="1" x="14"/>
        <item m="1" x="20"/>
        <item m="1" x="19"/>
        <item m="1" x="16"/>
        <item m="1" x="18"/>
        <item m="1" x="24"/>
        <item m="1" x="23"/>
        <item m="1" x="22"/>
        <item m="1" x="30"/>
        <item m="1" x="34"/>
        <item m="1" x="26"/>
        <item m="1" x="28"/>
        <item m="1" x="27"/>
        <item m="1" x="33"/>
        <item m="1" x="32"/>
        <item m="1" x="29"/>
        <item m="1" x="31"/>
        <item m="1" x="25"/>
        <item m="1" x="37"/>
        <item m="1" x="36"/>
        <item m="1" x="35"/>
        <item t="default"/>
      </items>
    </pivotField>
    <pivotField numFmtId="14" showAll="0">
      <items count="1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showAll="0"/>
    <pivotField numFmtId="165" showAll="0"/>
    <pivotField numFmtId="165" showAll="0"/>
    <pivotField showAll="0">
      <items count="5">
        <item x="1"/>
        <item x="0"/>
        <item x="3"/>
        <item x="2"/>
        <item t="default"/>
      </items>
    </pivotField>
    <pivotField showAll="0"/>
    <pivotField numFmtId="166" showAll="0"/>
    <pivotField numFmtId="166" showAll="0"/>
    <pivotField numFmtId="166" showAll="0"/>
    <pivotField showAll="0"/>
    <pivotField axis="axisRow" dataField="1" showAll="0">
      <items count="10">
        <item x="0"/>
        <item m="1" x="8"/>
        <item x="1"/>
        <item m="1" x="4"/>
        <item m="1" x="6"/>
        <item x="2"/>
        <item m="1" x="7"/>
        <item m="1" x="5"/>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3"/>
  </rowFields>
  <rowItems count="5">
    <i>
      <x/>
    </i>
    <i>
      <x v="2"/>
    </i>
    <i>
      <x v="5"/>
    </i>
    <i>
      <x v="8"/>
    </i>
    <i t="grand">
      <x/>
    </i>
  </rowItems>
  <colItems count="1">
    <i/>
  </colItems>
  <dataFields count="1">
    <dataField name="Count of Notes" fld="13" subtotal="count" baseField="0" baseItem="0"/>
  </dataFields>
  <chartFormats count="8">
    <chartFormat chart="3" format="42" series="1">
      <pivotArea type="data" outline="0" fieldPosition="0">
        <references count="1">
          <reference field="4294967294" count="1" selected="0">
            <x v="0"/>
          </reference>
        </references>
      </pivotArea>
    </chartFormat>
    <chartFormat chart="3" format="43">
      <pivotArea type="data" outline="0" fieldPosition="0">
        <references count="2">
          <reference field="4294967294" count="1" selected="0">
            <x v="0"/>
          </reference>
          <reference field="13" count="1" selected="0">
            <x v="0"/>
          </reference>
        </references>
      </pivotArea>
    </chartFormat>
    <chartFormat chart="3" format="44">
      <pivotArea type="data" outline="0" fieldPosition="0">
        <references count="2">
          <reference field="4294967294" count="1" selected="0">
            <x v="0"/>
          </reference>
          <reference field="13" count="1" selected="0">
            <x v="2"/>
          </reference>
        </references>
      </pivotArea>
    </chartFormat>
    <chartFormat chart="3" format="45">
      <pivotArea type="data" outline="0" fieldPosition="0">
        <references count="2">
          <reference field="4294967294" count="1" selected="0">
            <x v="0"/>
          </reference>
          <reference field="13" count="1" selected="0">
            <x v="3"/>
          </reference>
        </references>
      </pivotArea>
    </chartFormat>
    <chartFormat chart="3" format="46">
      <pivotArea type="data" outline="0" fieldPosition="0">
        <references count="2">
          <reference field="4294967294" count="1" selected="0">
            <x v="0"/>
          </reference>
          <reference field="13" count="1" selected="0">
            <x v="4"/>
          </reference>
        </references>
      </pivotArea>
    </chartFormat>
    <chartFormat chart="3" format="47">
      <pivotArea type="data" outline="0" fieldPosition="0">
        <references count="2">
          <reference field="4294967294" count="1" selected="0">
            <x v="0"/>
          </reference>
          <reference field="13" count="1" selected="0">
            <x v="7"/>
          </reference>
        </references>
      </pivotArea>
    </chartFormat>
    <chartFormat chart="3" format="48">
      <pivotArea type="data" outline="0" fieldPosition="0">
        <references count="2">
          <reference field="4294967294" count="1" selected="0">
            <x v="0"/>
          </reference>
          <reference field="13" count="1" selected="0">
            <x v="5"/>
          </reference>
        </references>
      </pivotArea>
    </chartFormat>
    <chartFormat chart="3" format="49">
      <pivotArea type="data" outline="0" fieldPosition="0">
        <references count="2">
          <reference field="4294967294" count="1" selected="0">
            <x v="0"/>
          </reference>
          <reference field="1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474416-215C-42A5-86C9-456FD80CB552}"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J12" firstHeaderRow="1" firstDataRow="1" firstDataCol="0"/>
  <pivotFields count="20">
    <pivotField numFmtId="1" showAll="0"/>
    <pivotField showAll="0"/>
    <pivotField showAll="0"/>
    <pivotField numFmtId="14" showAll="0">
      <items count="1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dataField="1" showAll="0"/>
    <pivotField numFmtId="165" showAll="0"/>
    <pivotField numFmtId="165" showAll="0"/>
    <pivotField numFmtId="165" showAll="0">
      <items count="5">
        <item x="1"/>
        <item x="0"/>
        <item x="3"/>
        <item x="2"/>
        <item t="default"/>
      </items>
    </pivotField>
    <pivotField numFmtId="165" showAll="0"/>
    <pivotField numFmtId="166" showAll="0"/>
    <pivotField numFmtId="166" showAll="0"/>
    <pivotField numFmtId="166" showAll="0"/>
    <pivotField showAll="0"/>
    <pivotField showAl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Average of Shift" fld="4"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1A77D6-3572-4033-B912-F9D202169ECC}"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G2" firstHeaderRow="0" firstDataRow="1" firstDataCol="0"/>
  <pivotFields count="20">
    <pivotField showAll="0"/>
    <pivotField showAll="0">
      <items count="3">
        <item x="0"/>
        <item x="1"/>
        <item t="default"/>
      </items>
    </pivotField>
    <pivotField showAll="0">
      <items count="39">
        <item x="2"/>
        <item x="3"/>
        <item m="1" x="4"/>
        <item m="1" x="5"/>
        <item m="1" x="6"/>
        <item m="1" x="7"/>
        <item m="1" x="8"/>
        <item m="1" x="9"/>
        <item m="1" x="10"/>
        <item m="1" x="11"/>
        <item x="0"/>
        <item x="1"/>
        <item m="1" x="13"/>
        <item m="1" x="12"/>
        <item m="1" x="17"/>
        <item m="1" x="21"/>
        <item m="1" x="15"/>
        <item m="1" x="14"/>
        <item m="1" x="20"/>
        <item m="1" x="19"/>
        <item m="1" x="16"/>
        <item m="1" x="18"/>
        <item m="1" x="24"/>
        <item m="1" x="23"/>
        <item m="1" x="22"/>
        <item m="1" x="30"/>
        <item m="1" x="34"/>
        <item m="1" x="26"/>
        <item m="1" x="28"/>
        <item m="1" x="27"/>
        <item m="1" x="33"/>
        <item m="1" x="32"/>
        <item m="1" x="29"/>
        <item m="1" x="31"/>
        <item m="1" x="25"/>
        <item m="1" x="37"/>
        <item m="1" x="36"/>
        <item m="1" x="35"/>
        <item t="default"/>
      </items>
    </pivotField>
    <pivotField numFmtId="14" showAll="0">
      <items count="1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showAll="0"/>
    <pivotField numFmtId="165" showAll="0"/>
    <pivotField numFmtId="165" showAll="0"/>
    <pivotField showAll="0">
      <items count="5">
        <item x="1"/>
        <item x="0"/>
        <item x="3"/>
        <item x="2"/>
        <item t="default"/>
      </items>
    </pivotField>
    <pivotField showAll="0"/>
    <pivotField dataField="1" numFmtId="166" showAll="0"/>
    <pivotField dataField="1" numFmtId="166" showAll="0"/>
    <pivotField dataField="1" numFmtId="166"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h="1" x="0"/>
        <item h="1" x="1"/>
        <item x="2"/>
        <item h="1" x="3"/>
        <item t="default"/>
      </items>
    </pivotField>
    <pivotField dragToRow="0" dragToCol="0" dragToPage="0" showAll="0" defaultSubtota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3">
    <i>
      <x/>
    </i>
    <i i="1">
      <x v="1"/>
    </i>
    <i i="2">
      <x v="2"/>
    </i>
  </colItems>
  <dataFields count="3">
    <dataField name="Total Daily Pay" fld="9" baseField="0" baseItem="0" numFmtId="166"/>
    <dataField name="Sum of Overtime Pay" fld="10" baseField="0" baseItem="0" numFmtId="166"/>
    <dataField name="Sum of Deduction" fld="1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1B3F30-5B69-4617-9E93-EB3D3ED96A49}"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2:I26" firstHeaderRow="1" firstDataRow="1" firstDataCol="1"/>
  <pivotFields count="20">
    <pivotField numFmtId="1" showAll="0"/>
    <pivotField numFmtId="1" showAll="0"/>
    <pivotField showAll="0"/>
    <pivotField numFmtId="14" showAll="0">
      <items count="1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showAll="0"/>
    <pivotField numFmtId="165" showAll="0"/>
    <pivotField numFmtId="165" showAll="0"/>
    <pivotField numFmtId="165" showAll="0">
      <items count="5">
        <item x="1"/>
        <item x="0"/>
        <item x="3"/>
        <item x="2"/>
        <item t="default"/>
      </items>
    </pivotField>
    <pivotField numFmtId="165" showAll="0"/>
    <pivotField numFmtId="166" showAll="0"/>
    <pivotField showAll="0"/>
    <pivotField dataField="1" numFmtId="166" showAll="0"/>
    <pivotField axis="axisRow" showAll="0">
      <items count="8">
        <item x="1"/>
        <item x="2"/>
        <item x="3"/>
        <item m="1" x="4"/>
        <item x="0"/>
        <item m="1" x="5"/>
        <item m="1" x="6"/>
        <item t="default"/>
      </items>
    </pivotField>
    <pivotField showAl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2"/>
  </rowFields>
  <rowItems count="4">
    <i>
      <x/>
    </i>
    <i>
      <x v="1"/>
    </i>
    <i>
      <x v="2"/>
    </i>
    <i t="grand">
      <x/>
    </i>
  </rowItems>
  <colItems count="1">
    <i/>
  </colItems>
  <dataFields count="1">
    <dataField name="Sum of Deduction" fld="11" baseField="0" baseItem="0" numFmtId="166"/>
  </dataFields>
  <pivotTableStyleInfo name="PivotStyleLight16" showRowHeaders="1" showColHeaders="1" showRowStripes="0" showColStripes="0" showLastColumn="1"/>
  <filters count="1">
    <filter fld="12" type="captionContains" evalOrder="-1" id="1" stringValue1="BPJS">
      <autoFilter ref="A1">
        <filterColumn colId="0">
          <customFilters>
            <customFilter val="*BPJS*"/>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45D257-E2F9-4261-BA1C-EAFDB25F9249}" name="PivotTable2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0:E21" firstHeaderRow="1" firstDataRow="1" firstDataCol="0"/>
  <pivotFields count="20">
    <pivotField numFmtId="1" showAll="0"/>
    <pivotField showAll="0"/>
    <pivotField showAll="0"/>
    <pivotField numFmtId="14" showAll="0">
      <items count="1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showAll="0"/>
    <pivotField numFmtId="165" showAll="0"/>
    <pivotField numFmtId="165" showAll="0"/>
    <pivotField numFmtId="165" showAll="0">
      <items count="5">
        <item x="1"/>
        <item x="0"/>
        <item x="3"/>
        <item x="2"/>
        <item t="default"/>
      </items>
    </pivotField>
    <pivotField numFmtId="165" showAll="0"/>
    <pivotField numFmtId="166" showAll="0"/>
    <pivotField numFmtId="166" showAll="0"/>
    <pivotField numFmtId="166"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ataField="1" dragToRow="0" dragToCol="0" dragToPage="0" showAll="0" defaultSubtotal="0"/>
    <pivotField dragToRow="0" dragToCol="0" dragToPage="0" showAll="0" defaultSubtota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Items count="1">
    <i/>
  </colItems>
  <dataFields count="1">
    <dataField name="Sum of Net Salary" fld="17"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30E0EB-AF74-4961-B1D1-517A5E14B29D}"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12" firstHeaderRow="1" firstDataRow="1" firstDataCol="1"/>
  <pivotFields count="20">
    <pivotField showAll="0"/>
    <pivotField showAll="0"/>
    <pivotField showAll="0"/>
    <pivotField numFmtId="14" showAll="0">
      <items count="1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dataField="1" showAll="0"/>
    <pivotField numFmtId="165" showAll="0"/>
    <pivotField numFmtId="165" showAll="0"/>
    <pivotField showAll="0">
      <items count="5">
        <item x="1"/>
        <item x="0"/>
        <item x="3"/>
        <item x="2"/>
        <item t="default"/>
      </items>
    </pivotField>
    <pivotField showAll="0"/>
    <pivotField numFmtId="166" showAll="0"/>
    <pivotField numFmtId="166" showAll="0"/>
    <pivotField numFmtId="166"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5">
        <item sd="0" x="0"/>
        <item x="1"/>
        <item x="2"/>
        <item x="3"/>
        <item t="default"/>
      </items>
    </pivotField>
    <pivotField dragToRow="0" dragToCol="0" dragToPage="0" showAll="0" defaultSubtota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16"/>
    <field x="14"/>
  </rowFields>
  <rowItems count="8">
    <i>
      <x v="1"/>
    </i>
    <i r="1">
      <x v="11"/>
    </i>
    <i r="1">
      <x v="12"/>
    </i>
    <i>
      <x v="2"/>
    </i>
    <i r="1">
      <x v="1"/>
    </i>
    <i r="1">
      <x v="2"/>
    </i>
    <i r="1">
      <x v="3"/>
    </i>
    <i t="grand">
      <x/>
    </i>
  </rowItems>
  <colItems count="1">
    <i/>
  </colItems>
  <dataFields count="1">
    <dataField name="Count of Shift" fld="4" subtotal="countNums"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roll_Month" xr10:uid="{1125A49D-7BB2-44F5-A7E9-FD21DEEC0442}" sourceName="Payroll Month">
  <pivotTables>
    <pivotTable tabId="2" name="PivotTable10"/>
    <pivotTable tabId="2" name="PivotTable11"/>
    <pivotTable tabId="2" name="PivotTable15"/>
    <pivotTable tabId="2" name="PivotTable23"/>
  </pivotTables>
  <data>
    <tabular pivotCacheId="313149587">
      <items count="38">
        <i x="2" s="1"/>
        <i x="3" s="1"/>
        <i x="0" s="1"/>
        <i x="1" s="1"/>
        <i x="4" s="1" nd="1"/>
        <i x="5" s="1" nd="1"/>
        <i x="6" s="1" nd="1"/>
        <i x="7" s="1" nd="1"/>
        <i x="8" s="1" nd="1"/>
        <i x="9" s="1" nd="1"/>
        <i x="10" s="1" nd="1"/>
        <i x="11" s="1" nd="1"/>
        <i x="13" s="1" nd="1"/>
        <i x="12" s="1" nd="1"/>
        <i x="17" s="1" nd="1"/>
        <i x="21" s="1" nd="1"/>
        <i x="15" s="1" nd="1"/>
        <i x="14" s="1" nd="1"/>
        <i x="20" s="1" nd="1"/>
        <i x="19" s="1" nd="1"/>
        <i x="16" s="1" nd="1"/>
        <i x="18" s="1" nd="1"/>
        <i x="24" s="1" nd="1"/>
        <i x="23" s="1" nd="1"/>
        <i x="22" s="1" nd="1"/>
        <i x="30" s="1" nd="1"/>
        <i x="34" s="1" nd="1"/>
        <i x="26" s="1" nd="1"/>
        <i x="28" s="1" nd="1"/>
        <i x="27" s="1" nd="1"/>
        <i x="33" s="1" nd="1"/>
        <i x="32" s="1" nd="1"/>
        <i x="29" s="1" nd="1"/>
        <i x="31" s="1" nd="1"/>
        <i x="25" s="1" nd="1"/>
        <i x="37" s="1" nd="1"/>
        <i x="36" s="1" nd="1"/>
        <i x="3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roll_Year" xr10:uid="{02DD5D9B-333C-4689-9206-74DCEC8B253B}" sourceName="Payroll Year">
  <pivotTables>
    <pivotTable tabId="2" name="PivotTable10"/>
    <pivotTable tabId="2" name="PivotTable11"/>
    <pivotTable tabId="2" name="PivotTable14"/>
    <pivotTable tabId="2" name="PivotTable15"/>
    <pivotTable tabId="2" name="PivotTable23"/>
  </pivotTables>
  <data>
    <tabular pivotCacheId="31314958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roll Month" xr10:uid="{3F3AD20A-EB2D-4F97-8D4A-921CBF8CD70E}" cache="Slicer_Payroll_Month" caption="Work Period (Month)" columnCount="2" style="Custom Style 1" rowHeight="247650"/>
  <slicer name="Payroll Year" xr10:uid="{87118A08-A0FE-4C29-A483-931850A7B541}" cache="Slicer_Payroll_Year" caption="Work Period (Year)" columnCount="2" style="Custom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DCB477-3DFF-43E5-8C11-1C49C8D2531B}" name="TblDailyPay" displayName="TblDailyPay" ref="A2:B4" totalsRowShown="0">
  <autoFilter ref="A2:B4" xr:uid="{A2DCB477-3DFF-43E5-8C11-1C49C8D2531B}"/>
  <tableColumns count="2">
    <tableColumn id="1" xr3:uid="{917C4805-E853-4BDD-AA77-B1AACB3B9857}" name="Year" dataDxfId="32"/>
    <tableColumn id="2" xr3:uid="{C7262394-F881-4358-87D7-D81336E228B2}" name="Rate"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7BF294-6DC6-4715-9C58-F77B5570FC33}" name="TblOvertime" displayName="TblOvertime" ref="D3:F13" totalsRowShown="0">
  <autoFilter ref="D3:F13" xr:uid="{2D7BF294-6DC6-4715-9C58-F77B5570FC33}"/>
  <tableColumns count="3">
    <tableColumn id="1" xr3:uid="{4A2C1D08-5DFD-42C1-80D7-C948C0B894A5}" name="Year"/>
    <tableColumn id="2" xr3:uid="{6C0C8224-0B3C-404B-83BD-D5DDDDA10E69}" name="Work Hour" dataDxfId="30"/>
    <tableColumn id="3" xr3:uid="{9A6ACEC8-60BE-4223-A560-7C10D056E072}" name="Rate"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BED195-7A00-415A-9921-380AD3C8234F}" name="TblHOvertime" displayName="TblHOvertime" ref="H3:J13" totalsRowShown="0">
  <autoFilter ref="H3:J13" xr:uid="{C1BED195-7A00-415A-9921-380AD3C8234F}"/>
  <tableColumns count="3">
    <tableColumn id="1" xr3:uid="{18E2BFAE-05C5-40A1-A13B-A82354DECDEA}" name="Year"/>
    <tableColumn id="2" xr3:uid="{6E0ACDCB-4BDD-418F-8795-E0AB1AD72EEA}" name="Work Hour" dataDxfId="28"/>
    <tableColumn id="3" xr3:uid="{73E61472-AE6C-4C72-9607-0EE87F9A2661}" name="Rate" dataDxfId="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60D9287-D477-4692-97E9-0DE18EF6B094}" name="Table7" displayName="Table7" ref="L2:M3" totalsRowShown="0">
  <autoFilter ref="L2:M3" xr:uid="{560D9287-D477-4692-97E9-0DE18EF6B094}"/>
  <tableColumns count="2">
    <tableColumn id="1" xr3:uid="{FB4129EC-D111-4195-92A5-5209A5B0A305}" name="Start Period Date"/>
    <tableColumn id="2" xr3:uid="{637FC7C1-7385-40FB-9BB7-D37511BA26E4}" name="End Period Date">
      <calculatedColumnFormula>Table7[[#This Row],[Start Period Date]]-1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3F9988-3A03-48BA-859E-C23E0D2E007B}" name="Table6" displayName="Table6" ref="O2:P8" totalsRowShown="0">
  <autoFilter ref="O2:P8" xr:uid="{403F9988-3A03-48BA-859E-C23E0D2E007B}"/>
  <tableColumns count="2">
    <tableColumn id="1" xr3:uid="{548A8112-F6CB-447A-ABCD-71D1F65CA6A6}" name="Shift"/>
    <tableColumn id="2" xr3:uid="{355FFBC1-9FDD-4AE0-A527-4BF65CE445B1}" name="Time" dataDxfId="2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56DED3-CE7A-4F5F-AA1A-AFE63B5B55A7}" name="TblEvent" displayName="TblEvent" ref="A1:D5" totalsRowShown="0">
  <autoFilter ref="A1:D5" xr:uid="{4056DED3-CE7A-4F5F-AA1A-AFE63B5B55A7}"/>
  <sortState xmlns:xlrd2="http://schemas.microsoft.com/office/spreadsheetml/2017/richdata2" ref="A2:D5">
    <sortCondition ref="A1:A5"/>
  </sortState>
  <tableColumns count="4">
    <tableColumn id="1" xr3:uid="{0CA4A8AA-7792-4190-9D71-89A3CD8A1A0B}" name="Full Date" dataDxfId="25"/>
    <tableColumn id="2" xr3:uid="{BFB0CD10-B9E2-47A1-8DFE-A3C97BCB02DE}" name="Type"/>
    <tableColumn id="3" xr3:uid="{B14DD7AC-98DB-4011-996E-7F80FD308ED0}" name="Hour" dataDxfId="24"/>
    <tableColumn id="4" xr3:uid="{8303517F-4233-42A8-AAA2-EAEF540AF888}" name="Break" dataDxfId="2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BB5C80-7212-4BA2-8670-346DF38D0BF1}" name="Table8" displayName="Table8" ref="A1:E3" totalsRowShown="0">
  <autoFilter ref="A1:E3" xr:uid="{83BB5C80-7212-4BA2-8670-346DF38D0BF1}"/>
  <sortState xmlns:xlrd2="http://schemas.microsoft.com/office/spreadsheetml/2017/richdata2" ref="A2:E3">
    <sortCondition ref="C1:C3"/>
  </sortState>
  <tableColumns count="5">
    <tableColumn id="1" xr3:uid="{C40DC1D0-68DC-49F1-B893-D15827DBB7C2}" name="Type"/>
    <tableColumn id="2" xr3:uid="{8D8D1E26-189C-463D-A83F-BE9D2A90CB7D}" name="Date" dataDxfId="22"/>
    <tableColumn id="5" xr3:uid="{4B04ECEC-78D9-419E-8D17-8BC57C00F10E}" name="Year"/>
    <tableColumn id="4" xr3:uid="{4FFC8A6E-CC72-4608-8281-791B1B043966}" name="Rate" dataDxfId="21"/>
    <tableColumn id="6" xr3:uid="{9FA40F27-A413-4863-ACCF-3733136B2D13}" name="Notes" dataDxfId="2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58C79E-3CEF-4B38-AD12-268ABAE90A88}" name="TblRecords" displayName="TblRecords" ref="A1:N116" totalsRowShown="0" headerRowDxfId="19" dataDxfId="18">
  <autoFilter ref="A1:N116" xr:uid="{4958C79E-3CEF-4B38-AD12-268ABAE90A88}"/>
  <sortState xmlns:xlrd2="http://schemas.microsoft.com/office/spreadsheetml/2017/richdata2" ref="A2:N116">
    <sortCondition ref="A1:A116"/>
  </sortState>
  <tableColumns count="14">
    <tableColumn id="15" xr3:uid="{99B628AC-9B4A-42E0-93D8-FCF4A11B7302}" name="No" dataDxfId="17"/>
    <tableColumn id="14" xr3:uid="{25CD93D7-35DF-4195-B385-96785DC5A1D2}" name="Payroll Year" dataDxfId="16"/>
    <tableColumn id="18" xr3:uid="{7FD7D71A-25A4-4B38-9AD8-03D1251AA811}" name="Payroll Month" dataDxfId="15">
      <calculatedColumnFormula array="1">TEXT(D2 - Table7[End Period Date], "MMMM")</calculatedColumnFormula>
    </tableColumn>
    <tableColumn id="16" xr3:uid="{3B0E200E-9E69-409A-A143-28E0C5E3EA22}" name="Full Date" dataDxfId="14"/>
    <tableColumn id="5" xr3:uid="{4B7CDFC7-6598-4CEE-9061-84689EE5BAEF}" name="Shift" dataDxfId="13"/>
    <tableColumn id="7" xr3:uid="{835D7FFA-836A-45D4-AA89-50713F2DC854}" name="Overtime Hour" dataDxfId="12">
      <calculatedColumnFormula>IF(OR(TblRecords[[#This Row],[Notes]]="OVERTIME",TblRecords[[#This Row],[Notes]]="HOLIDAY OVERTIME"),_xlfn.XLOOKUP(TblRecords[[#This Row],[Full Date]],TblEvent[Full Date],TblEvent[Hour]),0)</calculatedColumnFormula>
    </tableColumn>
    <tableColumn id="17" xr3:uid="{4A97A861-4494-4244-B5A6-FE681DF4EE18}" name="Overtime Break" dataDxfId="11">
      <calculatedColumnFormula>IF(OR(TblRecords[[#This Row],[Notes]]="OVERTIME",TblRecords[[#This Row],[Notes]]="HOLIDAY OVERTIME"),_xlfn.XLOOKUP(TblRecords[[#This Row],[Full Date]],TblEvent[Full Date],TblEvent[Break]),0)</calculatedColumnFormula>
    </tableColumn>
    <tableColumn id="8" xr3:uid="{A9CA14C4-9FB2-4CF7-836B-E39E14F55134}" name="Start Time" dataDxfId="10">
      <calculatedColumnFormula>_xlfn.XLOOKUP(TblRecords[[#This Row],[Shift]],Table6[Shift],Table6[Time],TIME(0,0,0))</calculatedColumnFormula>
    </tableColumn>
    <tableColumn id="9" xr3:uid="{D357A76F-68E5-4DCE-86DA-2DA36015DA8C}" name="End Time" dataDxfId="9">
      <calculatedColumnFormula array="1">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calculatedColumnFormula>
    </tableColumn>
    <tableColumn id="10" xr3:uid="{E53A7312-EB32-46DD-B9A8-D41C8D0C6166}" name="Daily Pay" dataDxfId="8">
      <calculatedColumnFormula>IF(AND(ISNUMBER(TblRecords[[#This Row],[Shift]]),TblRecords[[#This Row],[Shift]]&gt;0),IF(TblRecords[[#This Row],[Notes]]="HOLIDAY OVERTIME",0,_xlfn.XLOOKUP(TblRecords[[#This Row],[Payroll Year]],TblDailyPay[Year],TblDailyPay[Rate])),0)</calculatedColumnFormula>
    </tableColumn>
    <tableColumn id="12" xr3:uid="{88DF6CD5-B405-4A0D-9F4B-1D78551443D4}" name="Overtime Pay" dataDxfId="7">
      <calculatedColumnFormula array="1">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calculatedColumnFormula>
    </tableColumn>
    <tableColumn id="1" xr3:uid="{892EBA2C-2BCE-403C-BD34-19E5CCA8B0AE}" name="Deduction" dataDxfId="6">
      <calculatedColumnFormula array="1">_xlfn.XLOOKUP(1,(DAY(TblRecords[[#This Row],[Full Date]])=Table8[Date])*(TblRecords[[#This Row],[Payroll Year]]=Table8[Year]),Table8[Rate],_xlfn.XLOOKUP(TblRecords[[#This Row],[Full Date]],Table8[Date],Table8[Rate],0))</calculatedColumnFormula>
    </tableColumn>
    <tableColumn id="3" xr3:uid="{080BC581-1A9D-494F-9802-1DB65ADD2A0E}" name="Deduction Type" dataDxfId="5">
      <calculatedColumnFormula array="1">_xlfn.XLOOKUP(1,(DAY(TblRecords[[#This Row],[Full Date]])=Table8[Date])*(TblRecords[[#This Row],[Payroll Year]]=Table8[Year]),Table8[Type],_xlfn.XLOOKUP(TblRecords[[#This Row],[Full Date]],Table8[Date],Table8[Type],"No Deduction"))</calculatedColumnFormula>
    </tableColumn>
    <tableColumn id="13" xr3:uid="{4327DDAD-FF85-4EF9-B04C-158FAA8BEDC4}" name="Notes" dataDxfId="4">
      <calculatedColumnFormula>IF(ISNUMBER(TblRecords[[#This Row],[Shift]]),_xlfn.XLOOKUP(TblRecords[[#This Row],[Full Date]],TblEvent[Full Date],TblEvent[Type],"ATTENDED"),"OFF")</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5.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C679E-0755-4172-B699-7117809BCFEF}">
  <dimension ref="A1:P20"/>
  <sheetViews>
    <sheetView zoomScale="115" zoomScaleNormal="115" workbookViewId="0">
      <selection activeCell="B3" sqref="B3"/>
    </sheetView>
  </sheetViews>
  <sheetFormatPr defaultRowHeight="14.4" x14ac:dyDescent="0.3"/>
  <cols>
    <col min="1" max="1" width="6.88671875" style="14" bestFit="1" customWidth="1"/>
    <col min="2" max="2" width="12.77734375" style="7" bestFit="1" customWidth="1"/>
    <col min="3" max="3" width="1.77734375" customWidth="1"/>
    <col min="4" max="4" width="6.88671875" bestFit="1" customWidth="1"/>
    <col min="5" max="5" width="11.88671875" style="15" bestFit="1" customWidth="1"/>
    <col min="6" max="6" width="12.77734375" style="7" bestFit="1" customWidth="1"/>
    <col min="7" max="7" width="1.77734375" customWidth="1"/>
    <col min="8" max="8" width="6.88671875" bestFit="1" customWidth="1"/>
    <col min="9" max="9" width="11.88671875" style="15" bestFit="1" customWidth="1"/>
    <col min="10" max="10" width="12.77734375" style="7" bestFit="1" customWidth="1"/>
    <col min="11" max="11" width="1.88671875" customWidth="1"/>
    <col min="12" max="12" width="18" customWidth="1"/>
    <col min="13" max="13" width="17" customWidth="1"/>
    <col min="14" max="14" width="1.77734375" customWidth="1"/>
    <col min="16" max="16" width="8.88671875" style="15"/>
  </cols>
  <sheetData>
    <row r="1" spans="1:16" x14ac:dyDescent="0.3">
      <c r="A1" s="30" t="s">
        <v>3</v>
      </c>
      <c r="B1" s="30"/>
      <c r="D1" s="31" t="s">
        <v>4</v>
      </c>
      <c r="E1" s="31"/>
      <c r="F1" s="31"/>
      <c r="G1" s="31"/>
      <c r="H1" s="31"/>
      <c r="I1" s="31"/>
      <c r="J1" s="31"/>
      <c r="L1" s="29" t="s">
        <v>47</v>
      </c>
      <c r="M1" s="29"/>
      <c r="O1" s="29" t="s">
        <v>64</v>
      </c>
      <c r="P1" s="29"/>
    </row>
    <row r="2" spans="1:16" x14ac:dyDescent="0.3">
      <c r="A2" s="14" t="s">
        <v>34</v>
      </c>
      <c r="B2" s="7" t="s">
        <v>46</v>
      </c>
      <c r="D2" s="32" t="s">
        <v>39</v>
      </c>
      <c r="E2" s="32"/>
      <c r="F2" s="32"/>
      <c r="H2" s="33" t="s">
        <v>37</v>
      </c>
      <c r="I2" s="33"/>
      <c r="J2" s="33"/>
      <c r="L2" t="s">
        <v>56</v>
      </c>
      <c r="M2" t="s">
        <v>57</v>
      </c>
      <c r="O2" t="s">
        <v>0</v>
      </c>
      <c r="P2" s="15" t="s">
        <v>63</v>
      </c>
    </row>
    <row r="3" spans="1:16" x14ac:dyDescent="0.3">
      <c r="A3" s="14">
        <v>2025</v>
      </c>
      <c r="B3" s="7">
        <v>110005</v>
      </c>
      <c r="D3" t="s">
        <v>34</v>
      </c>
      <c r="E3" s="15" t="s">
        <v>38</v>
      </c>
      <c r="F3" s="7" t="s">
        <v>46</v>
      </c>
      <c r="H3" t="s">
        <v>34</v>
      </c>
      <c r="I3" s="15" t="s">
        <v>38</v>
      </c>
      <c r="J3" s="7" t="s">
        <v>46</v>
      </c>
      <c r="L3">
        <v>21</v>
      </c>
      <c r="M3">
        <f>Table7[[#This Row],[Start Period Date]]-1</f>
        <v>20</v>
      </c>
      <c r="O3">
        <v>1</v>
      </c>
      <c r="P3" s="15">
        <v>0.25</v>
      </c>
    </row>
    <row r="4" spans="1:16" x14ac:dyDescent="0.3">
      <c r="A4" s="14">
        <v>2026</v>
      </c>
      <c r="B4" s="7">
        <v>133640</v>
      </c>
      <c r="D4">
        <v>2026</v>
      </c>
      <c r="E4" s="15">
        <v>4.1666666666666664E-2</v>
      </c>
      <c r="F4" s="7">
        <v>25492</v>
      </c>
      <c r="H4">
        <v>2026</v>
      </c>
      <c r="I4" s="15">
        <v>4.1666666666666664E-2</v>
      </c>
      <c r="J4" s="7">
        <v>33989</v>
      </c>
      <c r="O4">
        <v>2</v>
      </c>
      <c r="P4" s="15">
        <v>0.58333333333333337</v>
      </c>
    </row>
    <row r="5" spans="1:16" x14ac:dyDescent="0.3">
      <c r="D5">
        <v>2026</v>
      </c>
      <c r="E5" s="15">
        <v>8.3333333333333301E-2</v>
      </c>
      <c r="F5" s="7">
        <v>59482</v>
      </c>
      <c r="H5">
        <v>2026</v>
      </c>
      <c r="I5" s="15">
        <v>8.3333333333333301E-2</v>
      </c>
      <c r="J5" s="7">
        <v>67979</v>
      </c>
      <c r="O5">
        <v>3</v>
      </c>
      <c r="P5" s="15">
        <v>0.91666666666666663</v>
      </c>
    </row>
    <row r="6" spans="1:16" x14ac:dyDescent="0.3">
      <c r="D6">
        <v>2026</v>
      </c>
      <c r="E6" s="15">
        <v>0.125</v>
      </c>
      <c r="F6" s="7">
        <v>93471</v>
      </c>
      <c r="H6">
        <v>2026</v>
      </c>
      <c r="I6" s="15">
        <v>0.125</v>
      </c>
      <c r="J6" s="7">
        <v>101968</v>
      </c>
      <c r="O6">
        <v>1.2</v>
      </c>
      <c r="P6" s="15">
        <v>0.41666666666666669</v>
      </c>
    </row>
    <row r="7" spans="1:16" x14ac:dyDescent="0.3">
      <c r="D7">
        <v>2026</v>
      </c>
      <c r="E7" s="15">
        <v>0.16666666666666699</v>
      </c>
      <c r="F7" s="7">
        <v>127460</v>
      </c>
      <c r="H7">
        <v>2026</v>
      </c>
      <c r="I7" s="15">
        <v>0.16666666666666699</v>
      </c>
      <c r="J7" s="7">
        <v>135958</v>
      </c>
      <c r="O7">
        <v>2.2999999999999998</v>
      </c>
      <c r="P7" s="15">
        <v>0.75</v>
      </c>
    </row>
    <row r="8" spans="1:16" x14ac:dyDescent="0.3">
      <c r="D8">
        <v>2026</v>
      </c>
      <c r="E8" s="15">
        <v>0.20833333333333301</v>
      </c>
      <c r="F8" s="7">
        <v>161449</v>
      </c>
      <c r="H8">
        <v>2026</v>
      </c>
      <c r="I8" s="15">
        <v>0.20833333333333301</v>
      </c>
      <c r="J8" s="7">
        <v>169948</v>
      </c>
      <c r="O8">
        <v>3.1</v>
      </c>
      <c r="P8" s="15">
        <v>8.3333333333333329E-2</v>
      </c>
    </row>
    <row r="9" spans="1:16" x14ac:dyDescent="0.3">
      <c r="D9">
        <v>2026</v>
      </c>
      <c r="E9" s="15">
        <v>0.25</v>
      </c>
      <c r="F9" s="7">
        <v>195438</v>
      </c>
      <c r="H9">
        <v>2026</v>
      </c>
      <c r="I9" s="15">
        <v>0.25</v>
      </c>
      <c r="J9" s="7">
        <v>203937</v>
      </c>
    </row>
    <row r="10" spans="1:16" x14ac:dyDescent="0.3">
      <c r="D10">
        <v>2026</v>
      </c>
      <c r="E10" s="15">
        <v>0.29166666666666702</v>
      </c>
      <c r="F10" s="7">
        <v>229427</v>
      </c>
      <c r="H10">
        <v>2026</v>
      </c>
      <c r="I10" s="15">
        <v>0.29166666666666702</v>
      </c>
      <c r="J10" s="7">
        <v>237927</v>
      </c>
    </row>
    <row r="11" spans="1:16" x14ac:dyDescent="0.3">
      <c r="D11">
        <v>2026</v>
      </c>
      <c r="E11" s="15">
        <v>0.33333333333333298</v>
      </c>
      <c r="F11" s="7">
        <v>263416</v>
      </c>
      <c r="H11">
        <v>2026</v>
      </c>
      <c r="I11" s="15">
        <v>0.33333333333333298</v>
      </c>
      <c r="J11" s="7">
        <v>288910</v>
      </c>
    </row>
    <row r="12" spans="1:16" x14ac:dyDescent="0.3">
      <c r="D12">
        <v>2026</v>
      </c>
      <c r="E12" s="15">
        <v>0.375</v>
      </c>
      <c r="F12" s="7">
        <v>297405</v>
      </c>
      <c r="H12">
        <v>2026</v>
      </c>
      <c r="I12" s="15">
        <v>0.375</v>
      </c>
      <c r="J12" s="7">
        <v>356889</v>
      </c>
    </row>
    <row r="13" spans="1:16" x14ac:dyDescent="0.3">
      <c r="D13">
        <v>2026</v>
      </c>
      <c r="E13" s="15">
        <v>0.41666666666666702</v>
      </c>
      <c r="F13" s="7">
        <v>331394</v>
      </c>
      <c r="H13">
        <v>2026</v>
      </c>
      <c r="I13" s="15">
        <v>0.41666666666666702</v>
      </c>
      <c r="J13" s="7">
        <v>424868</v>
      </c>
    </row>
    <row r="17" spans="11:11" x14ac:dyDescent="0.3">
      <c r="K17" s="7"/>
    </row>
    <row r="18" spans="11:11" x14ac:dyDescent="0.3">
      <c r="K18" s="7"/>
    </row>
    <row r="19" spans="11:11" x14ac:dyDescent="0.3">
      <c r="K19" s="7"/>
    </row>
    <row r="20" spans="11:11" x14ac:dyDescent="0.3">
      <c r="K20" s="7"/>
    </row>
  </sheetData>
  <mergeCells count="6">
    <mergeCell ref="O1:P1"/>
    <mergeCell ref="A1:B1"/>
    <mergeCell ref="D1:J1"/>
    <mergeCell ref="D2:F2"/>
    <mergeCell ref="H2:J2"/>
    <mergeCell ref="L1:M1"/>
  </mergeCells>
  <pageMargins left="0.7" right="0.7" top="0.75" bottom="0.75" header="0.3" footer="0.3"/>
  <pageSetup orientation="portrait" r:id="rId1"/>
  <tableParts count="5">
    <tablePart r:id="rId2"/>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7AF44-18CC-4F72-8DE0-7641EBC00E27}">
  <dimension ref="A1:D119"/>
  <sheetViews>
    <sheetView workbookViewId="0">
      <selection activeCell="G13" sqref="G13"/>
    </sheetView>
  </sheetViews>
  <sheetFormatPr defaultRowHeight="14.4" x14ac:dyDescent="0.3"/>
  <cols>
    <col min="1" max="1" width="10.44140625" style="17" bestFit="1" customWidth="1"/>
    <col min="2" max="2" width="17.21875" bestFit="1" customWidth="1"/>
    <col min="3" max="3" width="15.44140625" style="15" bestFit="1" customWidth="1"/>
    <col min="4" max="4" width="16.21875" style="15" bestFit="1" customWidth="1"/>
  </cols>
  <sheetData>
    <row r="1" spans="1:4" x14ac:dyDescent="0.3">
      <c r="A1" s="17" t="s">
        <v>11</v>
      </c>
      <c r="B1" t="s">
        <v>35</v>
      </c>
      <c r="C1" s="15" t="s">
        <v>36</v>
      </c>
      <c r="D1" s="15" t="s">
        <v>43</v>
      </c>
    </row>
    <row r="2" spans="1:4" x14ac:dyDescent="0.3">
      <c r="A2" s="2">
        <v>45999</v>
      </c>
      <c r="B2" t="s">
        <v>8</v>
      </c>
      <c r="C2" s="15">
        <v>0</v>
      </c>
      <c r="D2" s="15">
        <v>0</v>
      </c>
    </row>
    <row r="3" spans="1:4" x14ac:dyDescent="0.3">
      <c r="A3" s="2">
        <v>46016</v>
      </c>
      <c r="B3" t="s">
        <v>42</v>
      </c>
      <c r="C3" s="15">
        <v>0.29166666666666669</v>
      </c>
      <c r="D3" s="15">
        <v>4.1666666666666664E-2</v>
      </c>
    </row>
    <row r="4" spans="1:4" x14ac:dyDescent="0.3">
      <c r="A4" s="2">
        <v>46043</v>
      </c>
      <c r="B4" t="s">
        <v>8</v>
      </c>
      <c r="C4" s="15">
        <v>0</v>
      </c>
      <c r="D4" s="15">
        <v>0</v>
      </c>
    </row>
    <row r="5" spans="1:4" x14ac:dyDescent="0.3">
      <c r="A5" s="2">
        <v>46070</v>
      </c>
      <c r="B5" t="s">
        <v>42</v>
      </c>
      <c r="C5" s="15">
        <v>0.29166666666666669</v>
      </c>
      <c r="D5" s="15">
        <v>4.1666666666666664E-2</v>
      </c>
    </row>
    <row r="6" spans="1:4" x14ac:dyDescent="0.3">
      <c r="A6" s="2"/>
    </row>
    <row r="7" spans="1:4" x14ac:dyDescent="0.3">
      <c r="A7" s="2"/>
    </row>
    <row r="8" spans="1:4" x14ac:dyDescent="0.3">
      <c r="A8" s="2"/>
    </row>
    <row r="9" spans="1:4" x14ac:dyDescent="0.3">
      <c r="A9" s="2"/>
    </row>
    <row r="10" spans="1:4" x14ac:dyDescent="0.3">
      <c r="A10" s="2"/>
    </row>
    <row r="11" spans="1:4" x14ac:dyDescent="0.3">
      <c r="A11" s="2"/>
    </row>
    <row r="12" spans="1:4" x14ac:dyDescent="0.3">
      <c r="A12" s="2"/>
    </row>
    <row r="13" spans="1:4" x14ac:dyDescent="0.3">
      <c r="A13" s="2"/>
    </row>
    <row r="14" spans="1:4" x14ac:dyDescent="0.3">
      <c r="A14" s="2"/>
    </row>
    <row r="15" spans="1:4" x14ac:dyDescent="0.3">
      <c r="A15" s="2"/>
    </row>
    <row r="16" spans="1:4"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2"/>
    </row>
    <row r="28" spans="1:1" x14ac:dyDescent="0.3">
      <c r="A28" s="2"/>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5" spans="1:1" x14ac:dyDescent="0.3">
      <c r="A35" s="2"/>
    </row>
    <row r="36" spans="1:1" x14ac:dyDescent="0.3">
      <c r="A36" s="2"/>
    </row>
    <row r="37" spans="1:1" x14ac:dyDescent="0.3">
      <c r="A37" s="2"/>
    </row>
    <row r="38" spans="1:1" x14ac:dyDescent="0.3">
      <c r="A38" s="2"/>
    </row>
    <row r="39" spans="1:1" x14ac:dyDescent="0.3">
      <c r="A39" s="2"/>
    </row>
    <row r="40" spans="1:1" x14ac:dyDescent="0.3">
      <c r="A40" s="2"/>
    </row>
    <row r="41" spans="1:1" x14ac:dyDescent="0.3">
      <c r="A41" s="2"/>
    </row>
    <row r="42" spans="1:1" x14ac:dyDescent="0.3">
      <c r="A42" s="2"/>
    </row>
    <row r="43" spans="1:1" x14ac:dyDescent="0.3">
      <c r="A43" s="2"/>
    </row>
    <row r="44" spans="1:1" x14ac:dyDescent="0.3">
      <c r="A44" s="2"/>
    </row>
    <row r="45" spans="1:1" x14ac:dyDescent="0.3">
      <c r="A45" s="2"/>
    </row>
    <row r="46" spans="1:1" x14ac:dyDescent="0.3">
      <c r="A46" s="2"/>
    </row>
    <row r="47" spans="1:1" x14ac:dyDescent="0.3">
      <c r="A47" s="2"/>
    </row>
    <row r="48" spans="1:1" x14ac:dyDescent="0.3">
      <c r="A48" s="2"/>
    </row>
    <row r="49" spans="1:1" x14ac:dyDescent="0.3">
      <c r="A49" s="2"/>
    </row>
    <row r="50" spans="1:1" x14ac:dyDescent="0.3">
      <c r="A50" s="2"/>
    </row>
    <row r="51" spans="1:1" x14ac:dyDescent="0.3">
      <c r="A51" s="2"/>
    </row>
    <row r="52" spans="1:1" x14ac:dyDescent="0.3">
      <c r="A52" s="2"/>
    </row>
    <row r="53" spans="1:1" x14ac:dyDescent="0.3">
      <c r="A53" s="2"/>
    </row>
    <row r="54" spans="1:1" x14ac:dyDescent="0.3">
      <c r="A54" s="2"/>
    </row>
    <row r="55" spans="1:1" x14ac:dyDescent="0.3">
      <c r="A55" s="2"/>
    </row>
    <row r="56" spans="1:1" x14ac:dyDescent="0.3">
      <c r="A56" s="2"/>
    </row>
    <row r="57" spans="1:1" x14ac:dyDescent="0.3">
      <c r="A57" s="2"/>
    </row>
    <row r="58" spans="1:1" x14ac:dyDescent="0.3">
      <c r="A58" s="2"/>
    </row>
    <row r="59" spans="1:1" x14ac:dyDescent="0.3">
      <c r="A59" s="2"/>
    </row>
    <row r="60" spans="1:1" x14ac:dyDescent="0.3">
      <c r="A60" s="2"/>
    </row>
    <row r="61" spans="1:1" x14ac:dyDescent="0.3">
      <c r="A61" s="2"/>
    </row>
    <row r="62" spans="1:1" x14ac:dyDescent="0.3">
      <c r="A62" s="2"/>
    </row>
    <row r="63" spans="1:1" x14ac:dyDescent="0.3">
      <c r="A63" s="2"/>
    </row>
    <row r="64" spans="1:1" x14ac:dyDescent="0.3">
      <c r="A64" s="2"/>
    </row>
    <row r="65" spans="1:1" x14ac:dyDescent="0.3">
      <c r="A65" s="2"/>
    </row>
    <row r="66" spans="1:1" x14ac:dyDescent="0.3">
      <c r="A66" s="2"/>
    </row>
    <row r="67" spans="1:1" x14ac:dyDescent="0.3">
      <c r="A67" s="2"/>
    </row>
    <row r="68" spans="1:1" x14ac:dyDescent="0.3">
      <c r="A68" s="2"/>
    </row>
    <row r="69" spans="1:1" x14ac:dyDescent="0.3">
      <c r="A69" s="2"/>
    </row>
    <row r="70" spans="1:1" x14ac:dyDescent="0.3">
      <c r="A70" s="2"/>
    </row>
    <row r="71" spans="1:1" x14ac:dyDescent="0.3">
      <c r="A71" s="2"/>
    </row>
    <row r="72" spans="1:1" x14ac:dyDescent="0.3">
      <c r="A72" s="2"/>
    </row>
    <row r="73" spans="1:1" x14ac:dyDescent="0.3">
      <c r="A73" s="2"/>
    </row>
    <row r="74" spans="1:1" x14ac:dyDescent="0.3">
      <c r="A74" s="2"/>
    </row>
    <row r="75" spans="1:1" x14ac:dyDescent="0.3">
      <c r="A75" s="2"/>
    </row>
    <row r="76" spans="1:1" x14ac:dyDescent="0.3">
      <c r="A76" s="2"/>
    </row>
    <row r="77" spans="1:1" x14ac:dyDescent="0.3">
      <c r="A77" s="2"/>
    </row>
    <row r="78" spans="1:1" x14ac:dyDescent="0.3">
      <c r="A78" s="2"/>
    </row>
    <row r="79" spans="1:1" x14ac:dyDescent="0.3">
      <c r="A79" s="2"/>
    </row>
    <row r="80" spans="1:1" x14ac:dyDescent="0.3">
      <c r="A80" s="2"/>
    </row>
    <row r="81" spans="1:1" x14ac:dyDescent="0.3">
      <c r="A81" s="2"/>
    </row>
    <row r="82" spans="1:1" x14ac:dyDescent="0.3">
      <c r="A82" s="2"/>
    </row>
    <row r="83" spans="1:1" x14ac:dyDescent="0.3">
      <c r="A83" s="2"/>
    </row>
    <row r="84" spans="1:1" x14ac:dyDescent="0.3">
      <c r="A84" s="2"/>
    </row>
    <row r="85" spans="1:1" x14ac:dyDescent="0.3">
      <c r="A85" s="2"/>
    </row>
    <row r="86" spans="1:1" x14ac:dyDescent="0.3">
      <c r="A86" s="2"/>
    </row>
    <row r="87" spans="1:1" x14ac:dyDescent="0.3">
      <c r="A87" s="2"/>
    </row>
    <row r="88" spans="1:1" x14ac:dyDescent="0.3">
      <c r="A88" s="2"/>
    </row>
    <row r="89" spans="1:1" x14ac:dyDescent="0.3">
      <c r="A89" s="2"/>
    </row>
    <row r="90" spans="1:1" x14ac:dyDescent="0.3">
      <c r="A90" s="2"/>
    </row>
    <row r="91" spans="1:1" x14ac:dyDescent="0.3">
      <c r="A91" s="2"/>
    </row>
    <row r="92" spans="1:1" x14ac:dyDescent="0.3">
      <c r="A92" s="2"/>
    </row>
    <row r="93" spans="1:1" x14ac:dyDescent="0.3">
      <c r="A93" s="2"/>
    </row>
    <row r="94" spans="1:1" x14ac:dyDescent="0.3">
      <c r="A94" s="2"/>
    </row>
    <row r="95" spans="1:1" x14ac:dyDescent="0.3">
      <c r="A95" s="2"/>
    </row>
    <row r="96" spans="1:1" x14ac:dyDescent="0.3">
      <c r="A96" s="2"/>
    </row>
    <row r="97" spans="1:1" x14ac:dyDescent="0.3">
      <c r="A97" s="2"/>
    </row>
    <row r="98" spans="1:1" x14ac:dyDescent="0.3">
      <c r="A98" s="2"/>
    </row>
    <row r="99" spans="1:1" x14ac:dyDescent="0.3">
      <c r="A99" s="2"/>
    </row>
    <row r="100" spans="1:1" x14ac:dyDescent="0.3">
      <c r="A100" s="2"/>
    </row>
    <row r="101" spans="1:1" x14ac:dyDescent="0.3">
      <c r="A101" s="2"/>
    </row>
    <row r="102" spans="1:1" x14ac:dyDescent="0.3">
      <c r="A102" s="2"/>
    </row>
    <row r="103" spans="1:1" x14ac:dyDescent="0.3">
      <c r="A103" s="2"/>
    </row>
    <row r="104" spans="1:1" x14ac:dyDescent="0.3">
      <c r="A104" s="2"/>
    </row>
    <row r="105" spans="1:1" x14ac:dyDescent="0.3">
      <c r="A105" s="2"/>
    </row>
    <row r="106" spans="1:1" x14ac:dyDescent="0.3">
      <c r="A106" s="2"/>
    </row>
    <row r="107" spans="1:1" x14ac:dyDescent="0.3">
      <c r="A107" s="2"/>
    </row>
    <row r="108" spans="1:1" x14ac:dyDescent="0.3">
      <c r="A108" s="2"/>
    </row>
    <row r="109" spans="1:1" x14ac:dyDescent="0.3">
      <c r="A109" s="2"/>
    </row>
    <row r="110" spans="1:1" x14ac:dyDescent="0.3">
      <c r="A110" s="2"/>
    </row>
    <row r="111" spans="1:1" x14ac:dyDescent="0.3">
      <c r="A111" s="2"/>
    </row>
    <row r="112" spans="1:1" x14ac:dyDescent="0.3">
      <c r="A112" s="2"/>
    </row>
    <row r="113" spans="1:1" x14ac:dyDescent="0.3">
      <c r="A113" s="2"/>
    </row>
    <row r="114" spans="1:1" x14ac:dyDescent="0.3">
      <c r="A114" s="2"/>
    </row>
    <row r="115" spans="1:1" x14ac:dyDescent="0.3">
      <c r="A115" s="2"/>
    </row>
    <row r="116" spans="1:1" x14ac:dyDescent="0.3">
      <c r="A116" s="2"/>
    </row>
    <row r="117" spans="1:1" x14ac:dyDescent="0.3">
      <c r="A117" s="2"/>
    </row>
    <row r="118" spans="1:1" x14ac:dyDescent="0.3">
      <c r="A118" s="2"/>
    </row>
    <row r="119" spans="1:1" x14ac:dyDescent="0.3">
      <c r="A119" s="2"/>
    </row>
  </sheetData>
  <dataValidations count="1">
    <dataValidation type="list" allowBlank="1" showInputMessage="1" showErrorMessage="1" sqref="B2:B5" xr:uid="{FBD88F9B-072B-42D8-ABF2-6A5ADA6E7736}">
      <formula1>"OVERTIME,HOLIDAY OVERTIME,SICK,PERMITTED"</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860F4-AE0F-4CFF-91E5-5D4411144035}">
  <dimension ref="A1:E3"/>
  <sheetViews>
    <sheetView zoomScale="130" zoomScaleNormal="130" workbookViewId="0">
      <selection activeCell="D10" sqref="D10"/>
    </sheetView>
  </sheetViews>
  <sheetFormatPr defaultRowHeight="14.4" x14ac:dyDescent="0.3"/>
  <cols>
    <col min="1" max="1" width="17.21875" bestFit="1" customWidth="1"/>
    <col min="2" max="3" width="10.33203125" bestFit="1" customWidth="1"/>
    <col min="4" max="4" width="12.88671875" bestFit="1" customWidth="1"/>
    <col min="5" max="5" width="51.77734375" style="7" bestFit="1" customWidth="1"/>
    <col min="6" max="6" width="10.33203125" customWidth="1"/>
  </cols>
  <sheetData>
    <row r="1" spans="1:5" x14ac:dyDescent="0.3">
      <c r="A1" t="s">
        <v>35</v>
      </c>
      <c r="B1" t="s">
        <v>55</v>
      </c>
      <c r="C1" t="s">
        <v>34</v>
      </c>
      <c r="D1" s="7" t="s">
        <v>46</v>
      </c>
      <c r="E1" t="s">
        <v>31</v>
      </c>
    </row>
    <row r="2" spans="1:5" x14ac:dyDescent="0.3">
      <c r="A2" t="s">
        <v>49</v>
      </c>
      <c r="B2">
        <v>20</v>
      </c>
      <c r="C2">
        <v>2025</v>
      </c>
      <c r="D2" s="7">
        <v>-110005</v>
      </c>
      <c r="E2" t="s">
        <v>52</v>
      </c>
    </row>
    <row r="3" spans="1:5" x14ac:dyDescent="0.3">
      <c r="A3" t="s">
        <v>50</v>
      </c>
      <c r="B3">
        <v>20</v>
      </c>
      <c r="C3">
        <v>2026</v>
      </c>
      <c r="D3" s="7">
        <v>-117640</v>
      </c>
      <c r="E3" t="s">
        <v>53</v>
      </c>
    </row>
  </sheetData>
  <phoneticPr fontId="1"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30789-8B70-814E-9D7E-07BA835872C2}">
  <sheetPr>
    <pageSetUpPr autoPageBreaks="0"/>
  </sheetPr>
  <dimension ref="A1:P346"/>
  <sheetViews>
    <sheetView zoomScale="70" zoomScaleNormal="70" zoomScaleSheetLayoutView="100" workbookViewId="0">
      <selection activeCell="M121" sqref="M121"/>
    </sheetView>
  </sheetViews>
  <sheetFormatPr defaultRowHeight="14.4" x14ac:dyDescent="0.3"/>
  <cols>
    <col min="1" max="1" width="8.44140625" style="4" bestFit="1" customWidth="1"/>
    <col min="2" max="2" width="16.21875" style="4" bestFit="1" customWidth="1"/>
    <col min="3" max="3" width="17.77734375" style="2" bestFit="1" customWidth="1"/>
    <col min="4" max="4" width="13.6640625" style="3" bestFit="1" customWidth="1"/>
    <col min="5" max="5" width="10.21875" style="5" bestFit="1" customWidth="1"/>
    <col min="6" max="6" width="18.5546875" style="1" bestFit="1" customWidth="1"/>
    <col min="7" max="7" width="19.5546875" style="5" bestFit="1" customWidth="1"/>
    <col min="8" max="8" width="14.88671875" bestFit="1" customWidth="1"/>
    <col min="9" max="9" width="13.88671875" style="7" bestFit="1" customWidth="1"/>
    <col min="10" max="10" width="14" style="7" bestFit="1" customWidth="1"/>
    <col min="11" max="11" width="17.6640625" bestFit="1" customWidth="1"/>
    <col min="12" max="12" width="18.109375" bestFit="1" customWidth="1"/>
    <col min="13" max="13" width="17.6640625" style="7" bestFit="1" customWidth="1"/>
    <col min="14" max="14" width="18.109375" bestFit="1" customWidth="1"/>
    <col min="15" max="15" width="15.77734375" bestFit="1" customWidth="1"/>
    <col min="16" max="16" width="10.44140625" bestFit="1" customWidth="1"/>
  </cols>
  <sheetData>
    <row r="1" spans="1:14" x14ac:dyDescent="0.3">
      <c r="A1" s="4" t="s">
        <v>5</v>
      </c>
      <c r="B1" s="4" t="s">
        <v>28</v>
      </c>
      <c r="C1" s="8" t="s">
        <v>7</v>
      </c>
      <c r="D1" s="2" t="s">
        <v>11</v>
      </c>
      <c r="E1" s="9" t="s">
        <v>0</v>
      </c>
      <c r="F1" s="5" t="s">
        <v>40</v>
      </c>
      <c r="G1" s="5" t="s">
        <v>41</v>
      </c>
      <c r="H1" s="5" t="s">
        <v>1</v>
      </c>
      <c r="I1" s="1" t="s">
        <v>2</v>
      </c>
      <c r="J1" s="6" t="s">
        <v>3</v>
      </c>
      <c r="K1" s="6" t="s">
        <v>4</v>
      </c>
      <c r="L1" s="6" t="s">
        <v>45</v>
      </c>
      <c r="M1" s="6" t="s">
        <v>48</v>
      </c>
      <c r="N1" s="1" t="s">
        <v>31</v>
      </c>
    </row>
    <row r="2" spans="1:14" x14ac:dyDescent="0.3">
      <c r="A2" s="4">
        <v>1</v>
      </c>
      <c r="B2" s="4">
        <v>2025</v>
      </c>
      <c r="C2" s="8" t="str" cm="1">
        <f t="array" ref="C2">TEXT(D2 - Table7[End Period Date], "MMMM")</f>
        <v>November</v>
      </c>
      <c r="D2" s="2">
        <v>45982</v>
      </c>
      <c r="E2" s="9">
        <v>1</v>
      </c>
      <c r="F2" s="5">
        <f>IF(OR(TblRecords[[#This Row],[Notes]]="OVERTIME",TblRecords[[#This Row],[Notes]]="HOLIDAY OVERTIME"),_xlfn.XLOOKUP(TblRecords[[#This Row],[Full Date]],TblEvent[Full Date],TblEvent[Hour]),0)</f>
        <v>0</v>
      </c>
      <c r="G2" s="5">
        <f>IF(OR(TblRecords[[#This Row],[Notes]]="OVERTIME",TblRecords[[#This Row],[Notes]]="HOLIDAY OVERTIME"),_xlfn.XLOOKUP(TblRecords[[#This Row],[Full Date]],TblEvent[Full Date],TblEvent[Break]),0)</f>
        <v>0</v>
      </c>
      <c r="H2" s="5">
        <f>_xlfn.XLOOKUP(TblRecords[[#This Row],[Shift]],Table6[Shift],Table6[Time],TIME(0,0,0))</f>
        <v>0.25</v>
      </c>
      <c r="I2" s="5" cm="1">
        <f t="array" ref="I2">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2" s="6">
        <f>IF(AND(ISNUMBER(TblRecords[[#This Row],[Shift]]),TblRecords[[#This Row],[Shift]]&gt;0),IF(TblRecords[[#This Row],[Notes]]="HOLIDAY OVERTIME",0,_xlfn.XLOOKUP(TblRecords[[#This Row],[Payroll Year]],TblDailyPay[Year],TblDailyPay[Rate])),0)</f>
        <v>110005</v>
      </c>
      <c r="K2" s="6" cm="1">
        <f t="array" ref="K2">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2" s="6" cm="1">
        <f t="array" ref="L2">_xlfn.XLOOKUP(1,(DAY(TblRecords[[#This Row],[Full Date]])=Table8[Date])*(TblRecords[[#This Row],[Payroll Year]]=Table8[Year]),Table8[Rate],_xlfn.XLOOKUP(TblRecords[[#This Row],[Full Date]],Table8[Date],Table8[Rate],0))</f>
        <v>0</v>
      </c>
      <c r="M2" s="6" t="str" cm="1">
        <f t="array" ref="M2">_xlfn.XLOOKUP(1,(DAY(TblRecords[[#This Row],[Full Date]])=Table8[Date])*(TblRecords[[#This Row],[Payroll Year]]=Table8[Year]),Table8[Type],_xlfn.XLOOKUP(TblRecords[[#This Row],[Full Date]],Table8[Date],Table8[Type],"No Deduction"))</f>
        <v>No Deduction</v>
      </c>
      <c r="N2" t="str">
        <f>IF(ISNUMBER(TblRecords[[#This Row],[Shift]]),_xlfn.XLOOKUP(TblRecords[[#This Row],[Full Date]],TblEvent[Full Date],TblEvent[Type],"ATTENDED"),"OFF")</f>
        <v>ATTENDED</v>
      </c>
    </row>
    <row r="3" spans="1:14" x14ac:dyDescent="0.3">
      <c r="A3" s="4">
        <v>2</v>
      </c>
      <c r="B3" s="4">
        <v>2025</v>
      </c>
      <c r="C3" s="8" t="str" cm="1">
        <f t="array" ref="C3">TEXT(D3 - Table7[End Period Date], "MMMM")</f>
        <v>November</v>
      </c>
      <c r="D3" s="2">
        <v>45983</v>
      </c>
      <c r="E3" s="9">
        <v>1</v>
      </c>
      <c r="F3" s="5">
        <f>IF(OR(TblRecords[[#This Row],[Notes]]="OVERTIME",TblRecords[[#This Row],[Notes]]="HOLIDAY OVERTIME"),_xlfn.XLOOKUP(TblRecords[[#This Row],[Full Date]],TblEvent[Full Date],TblEvent[Hour]),0)</f>
        <v>0</v>
      </c>
      <c r="G3" s="5">
        <f>IF(OR(TblRecords[[#This Row],[Notes]]="OVERTIME",TblRecords[[#This Row],[Notes]]="HOLIDAY OVERTIME"),_xlfn.XLOOKUP(TblRecords[[#This Row],[Full Date]],TblEvent[Full Date],TblEvent[Break]),0)</f>
        <v>0</v>
      </c>
      <c r="H3" s="5">
        <f>_xlfn.XLOOKUP(TblRecords[[#This Row],[Shift]],Table6[Shift],Table6[Time],TIME(0,0,0))</f>
        <v>0.25</v>
      </c>
      <c r="I3" s="5" cm="1">
        <f t="array" ref="I3">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3" s="6">
        <f>IF(AND(ISNUMBER(TblRecords[[#This Row],[Shift]]),TblRecords[[#This Row],[Shift]]&gt;0),IF(TblRecords[[#This Row],[Notes]]="HOLIDAY OVERTIME",0,_xlfn.XLOOKUP(TblRecords[[#This Row],[Payroll Year]],TblDailyPay[Year],TblDailyPay[Rate])),0)</f>
        <v>110005</v>
      </c>
      <c r="K3" s="6" cm="1">
        <f t="array" ref="K3">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3" s="6" cm="1">
        <f t="array" ref="L3">_xlfn.XLOOKUP(1,(DAY(TblRecords[[#This Row],[Full Date]])=Table8[Date])*(TblRecords[[#This Row],[Payroll Year]]=Table8[Year]),Table8[Rate],_xlfn.XLOOKUP(TblRecords[[#This Row],[Full Date]],Table8[Date],Table8[Rate],0))</f>
        <v>0</v>
      </c>
      <c r="M3" s="6" t="str" cm="1">
        <f t="array" ref="M3">_xlfn.XLOOKUP(1,(DAY(TblRecords[[#This Row],[Full Date]])=Table8[Date])*(TblRecords[[#This Row],[Payroll Year]]=Table8[Year]),Table8[Type],_xlfn.XLOOKUP(TblRecords[[#This Row],[Full Date]],Table8[Date],Table8[Type],"No Deduction"))</f>
        <v>No Deduction</v>
      </c>
      <c r="N3" t="str">
        <f>IF(ISNUMBER(TblRecords[[#This Row],[Shift]]),_xlfn.XLOOKUP(TblRecords[[#This Row],[Full Date]],TblEvent[Full Date],TblEvent[Type],"ATTENDED"),"OFF")</f>
        <v>ATTENDED</v>
      </c>
    </row>
    <row r="4" spans="1:14" x14ac:dyDescent="0.3">
      <c r="A4" s="4">
        <v>3</v>
      </c>
      <c r="B4" s="4">
        <v>2025</v>
      </c>
      <c r="C4" s="8" t="str" cm="1">
        <f t="array" ref="C4">TEXT(D4 - Table7[End Period Date], "MMMM")</f>
        <v>November</v>
      </c>
      <c r="D4" s="2">
        <v>45984</v>
      </c>
      <c r="E4" s="9" t="s">
        <v>6</v>
      </c>
      <c r="F4" s="5">
        <f>IF(OR(TblRecords[[#This Row],[Notes]]="OVERTIME",TblRecords[[#This Row],[Notes]]="HOLIDAY OVERTIME"),_xlfn.XLOOKUP(TblRecords[[#This Row],[Full Date]],TblEvent[Full Date],TblEvent[Hour]),0)</f>
        <v>0</v>
      </c>
      <c r="G4" s="5">
        <f>IF(OR(TblRecords[[#This Row],[Notes]]="OVERTIME",TblRecords[[#This Row],[Notes]]="HOLIDAY OVERTIME"),_xlfn.XLOOKUP(TblRecords[[#This Row],[Full Date]],TblEvent[Full Date],TblEvent[Break]),0)</f>
        <v>0</v>
      </c>
      <c r="H4" s="5">
        <f>_xlfn.XLOOKUP(TblRecords[[#This Row],[Shift]],Table6[Shift],Table6[Time],TIME(0,0,0))</f>
        <v>0</v>
      </c>
      <c r="I4" s="5" cm="1">
        <f t="array" ref="I4">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4" s="6">
        <f>IF(AND(ISNUMBER(TblRecords[[#This Row],[Shift]]),TblRecords[[#This Row],[Shift]]&gt;0),IF(TblRecords[[#This Row],[Notes]]="HOLIDAY OVERTIME",0,_xlfn.XLOOKUP(TblRecords[[#This Row],[Payroll Year]],TblDailyPay[Year],TblDailyPay[Rate])),0)</f>
        <v>0</v>
      </c>
      <c r="K4" s="6" cm="1">
        <f t="array" ref="K4">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4" s="6" cm="1">
        <f t="array" ref="L4">_xlfn.XLOOKUP(1,(DAY(TblRecords[[#This Row],[Full Date]])=Table8[Date])*(TblRecords[[#This Row],[Payroll Year]]=Table8[Year]),Table8[Rate],_xlfn.XLOOKUP(TblRecords[[#This Row],[Full Date]],Table8[Date],Table8[Rate],0))</f>
        <v>0</v>
      </c>
      <c r="M4" s="6" t="str" cm="1">
        <f t="array" ref="M4">_xlfn.XLOOKUP(1,(DAY(TblRecords[[#This Row],[Full Date]])=Table8[Date])*(TblRecords[[#This Row],[Payroll Year]]=Table8[Year]),Table8[Type],_xlfn.XLOOKUP(TblRecords[[#This Row],[Full Date]],Table8[Date],Table8[Type],"No Deduction"))</f>
        <v>No Deduction</v>
      </c>
      <c r="N4" t="str">
        <f>IF(ISNUMBER(TblRecords[[#This Row],[Shift]]),_xlfn.XLOOKUP(TblRecords[[#This Row],[Full Date]],TblEvent[Full Date],TblEvent[Type],"ATTENDED"),"OFF")</f>
        <v>OFF</v>
      </c>
    </row>
    <row r="5" spans="1:14" x14ac:dyDescent="0.3">
      <c r="A5" s="4">
        <v>4</v>
      </c>
      <c r="B5" s="4">
        <v>2025</v>
      </c>
      <c r="C5" s="8" t="str" cm="1">
        <f t="array" ref="C5">TEXT(D5 - Table7[End Period Date], "MMMM")</f>
        <v>November</v>
      </c>
      <c r="D5" s="2">
        <v>45985</v>
      </c>
      <c r="E5" s="9" t="s">
        <v>6</v>
      </c>
      <c r="F5" s="5">
        <f>IF(OR(TblRecords[[#This Row],[Notes]]="OVERTIME",TblRecords[[#This Row],[Notes]]="HOLIDAY OVERTIME"),_xlfn.XLOOKUP(TblRecords[[#This Row],[Full Date]],TblEvent[Full Date],TblEvent[Hour]),0)</f>
        <v>0</v>
      </c>
      <c r="G5" s="5">
        <f>IF(OR(TblRecords[[#This Row],[Notes]]="OVERTIME",TblRecords[[#This Row],[Notes]]="HOLIDAY OVERTIME"),_xlfn.XLOOKUP(TblRecords[[#This Row],[Full Date]],TblEvent[Full Date],TblEvent[Break]),0)</f>
        <v>0</v>
      </c>
      <c r="H5" s="5">
        <f>_xlfn.XLOOKUP(TblRecords[[#This Row],[Shift]],Table6[Shift],Table6[Time],TIME(0,0,0))</f>
        <v>0</v>
      </c>
      <c r="I5" s="5" cm="1">
        <f t="array" ref="I5">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5" s="6">
        <f>IF(AND(ISNUMBER(TblRecords[[#This Row],[Shift]]),TblRecords[[#This Row],[Shift]]&gt;0),IF(TblRecords[[#This Row],[Notes]]="HOLIDAY OVERTIME",0,_xlfn.XLOOKUP(TblRecords[[#This Row],[Payroll Year]],TblDailyPay[Year],TblDailyPay[Rate])),0)</f>
        <v>0</v>
      </c>
      <c r="K5" s="6" cm="1">
        <f t="array" ref="K5">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5" s="6" cm="1">
        <f t="array" ref="L5">_xlfn.XLOOKUP(1,(DAY(TblRecords[[#This Row],[Full Date]])=Table8[Date])*(TblRecords[[#This Row],[Payroll Year]]=Table8[Year]),Table8[Rate],_xlfn.XLOOKUP(TblRecords[[#This Row],[Full Date]],Table8[Date],Table8[Rate],0))</f>
        <v>0</v>
      </c>
      <c r="M5" s="6" t="str" cm="1">
        <f t="array" ref="M5">_xlfn.XLOOKUP(1,(DAY(TblRecords[[#This Row],[Full Date]])=Table8[Date])*(TblRecords[[#This Row],[Payroll Year]]=Table8[Year]),Table8[Type],_xlfn.XLOOKUP(TblRecords[[#This Row],[Full Date]],Table8[Date],Table8[Type],"No Deduction"))</f>
        <v>No Deduction</v>
      </c>
      <c r="N5" t="str">
        <f>IF(ISNUMBER(TblRecords[[#This Row],[Shift]]),_xlfn.XLOOKUP(TblRecords[[#This Row],[Full Date]],TblEvent[Full Date],TblEvent[Type],"ATTENDED"),"OFF")</f>
        <v>OFF</v>
      </c>
    </row>
    <row r="6" spans="1:14" x14ac:dyDescent="0.3">
      <c r="A6" s="4">
        <v>5</v>
      </c>
      <c r="B6" s="4">
        <v>2025</v>
      </c>
      <c r="C6" s="8" t="str" cm="1">
        <f t="array" ref="C6">TEXT(D6 - Table7[End Period Date], "MMMM")</f>
        <v>November</v>
      </c>
      <c r="D6" s="2">
        <v>45986</v>
      </c>
      <c r="E6" s="9">
        <v>3</v>
      </c>
      <c r="F6" s="5">
        <f>IF(OR(TblRecords[[#This Row],[Notes]]="OVERTIME",TblRecords[[#This Row],[Notes]]="HOLIDAY OVERTIME"),_xlfn.XLOOKUP(TblRecords[[#This Row],[Full Date]],TblEvent[Full Date],TblEvent[Hour]),0)</f>
        <v>0</v>
      </c>
      <c r="G6" s="5">
        <f>IF(OR(TblRecords[[#This Row],[Notes]]="OVERTIME",TblRecords[[#This Row],[Notes]]="HOLIDAY OVERTIME"),_xlfn.XLOOKUP(TblRecords[[#This Row],[Full Date]],TblEvent[Full Date],TblEvent[Break]),0)</f>
        <v>0</v>
      </c>
      <c r="H6" s="5">
        <f>_xlfn.XLOOKUP(TblRecords[[#This Row],[Shift]],Table6[Shift],Table6[Time],TIME(0,0,0))</f>
        <v>0.91666666666666663</v>
      </c>
      <c r="I6" s="5" cm="1">
        <f t="array" ref="I6">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6" s="6">
        <f>IF(AND(ISNUMBER(TblRecords[[#This Row],[Shift]]),TblRecords[[#This Row],[Shift]]&gt;0),IF(TblRecords[[#This Row],[Notes]]="HOLIDAY OVERTIME",0,_xlfn.XLOOKUP(TblRecords[[#This Row],[Payroll Year]],TblDailyPay[Year],TblDailyPay[Rate])),0)</f>
        <v>110005</v>
      </c>
      <c r="K6" s="6" cm="1">
        <f t="array" ref="K6">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6" s="6" cm="1">
        <f t="array" ref="L6">_xlfn.XLOOKUP(1,(DAY(TblRecords[[#This Row],[Full Date]])=Table8[Date])*(TblRecords[[#This Row],[Payroll Year]]=Table8[Year]),Table8[Rate],_xlfn.XLOOKUP(TblRecords[[#This Row],[Full Date]],Table8[Date],Table8[Rate],0))</f>
        <v>0</v>
      </c>
      <c r="M6" s="6" t="str" cm="1">
        <f t="array" ref="M6">_xlfn.XLOOKUP(1,(DAY(TblRecords[[#This Row],[Full Date]])=Table8[Date])*(TblRecords[[#This Row],[Payroll Year]]=Table8[Year]),Table8[Type],_xlfn.XLOOKUP(TblRecords[[#This Row],[Full Date]],Table8[Date],Table8[Type],"No Deduction"))</f>
        <v>No Deduction</v>
      </c>
      <c r="N6" t="str">
        <f>IF(ISNUMBER(TblRecords[[#This Row],[Shift]]),_xlfn.XLOOKUP(TblRecords[[#This Row],[Full Date]],TblEvent[Full Date],TblEvent[Type],"ATTENDED"),"OFF")</f>
        <v>ATTENDED</v>
      </c>
    </row>
    <row r="7" spans="1:14" x14ac:dyDescent="0.3">
      <c r="A7" s="4">
        <v>6</v>
      </c>
      <c r="B7" s="4">
        <v>2025</v>
      </c>
      <c r="C7" s="8" t="str" cm="1">
        <f t="array" ref="C7">TEXT(D7 - Table7[End Period Date], "MMMM")</f>
        <v>November</v>
      </c>
      <c r="D7" s="2">
        <v>45987</v>
      </c>
      <c r="E7" s="9" t="s">
        <v>6</v>
      </c>
      <c r="F7" s="5">
        <f>IF(OR(TblRecords[[#This Row],[Notes]]="OVERTIME",TblRecords[[#This Row],[Notes]]="HOLIDAY OVERTIME"),_xlfn.XLOOKUP(TblRecords[[#This Row],[Full Date]],TblEvent[Full Date],TblEvent[Hour]),0)</f>
        <v>0</v>
      </c>
      <c r="G7" s="5">
        <f>IF(OR(TblRecords[[#This Row],[Notes]]="OVERTIME",TblRecords[[#This Row],[Notes]]="HOLIDAY OVERTIME"),_xlfn.XLOOKUP(TblRecords[[#This Row],[Full Date]],TblEvent[Full Date],TblEvent[Break]),0)</f>
        <v>0</v>
      </c>
      <c r="H7" s="5">
        <f>_xlfn.XLOOKUP(TblRecords[[#This Row],[Shift]],Table6[Shift],Table6[Time],TIME(0,0,0))</f>
        <v>0</v>
      </c>
      <c r="I7" s="5" cm="1">
        <f t="array" ref="I7">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7" s="6">
        <f>IF(AND(ISNUMBER(TblRecords[[#This Row],[Shift]]),TblRecords[[#This Row],[Shift]]&gt;0),IF(TblRecords[[#This Row],[Notes]]="HOLIDAY OVERTIME",0,_xlfn.XLOOKUP(TblRecords[[#This Row],[Payroll Year]],TblDailyPay[Year],TblDailyPay[Rate])),0)</f>
        <v>0</v>
      </c>
      <c r="K7" s="6" cm="1">
        <f t="array" ref="K7">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7" s="6" cm="1">
        <f t="array" ref="L7">_xlfn.XLOOKUP(1,(DAY(TblRecords[[#This Row],[Full Date]])=Table8[Date])*(TblRecords[[#This Row],[Payroll Year]]=Table8[Year]),Table8[Rate],_xlfn.XLOOKUP(TblRecords[[#This Row],[Full Date]],Table8[Date],Table8[Rate],0))</f>
        <v>0</v>
      </c>
      <c r="M7" s="6" t="str" cm="1">
        <f t="array" ref="M7">_xlfn.XLOOKUP(1,(DAY(TblRecords[[#This Row],[Full Date]])=Table8[Date])*(TblRecords[[#This Row],[Payroll Year]]=Table8[Year]),Table8[Type],_xlfn.XLOOKUP(TblRecords[[#This Row],[Full Date]],Table8[Date],Table8[Type],"No Deduction"))</f>
        <v>No Deduction</v>
      </c>
      <c r="N7" t="str">
        <f>IF(ISNUMBER(TblRecords[[#This Row],[Shift]]),_xlfn.XLOOKUP(TblRecords[[#This Row],[Full Date]],TblEvent[Full Date],TblEvent[Type],"ATTENDED"),"OFF")</f>
        <v>OFF</v>
      </c>
    </row>
    <row r="8" spans="1:14" x14ac:dyDescent="0.3">
      <c r="A8" s="4">
        <v>7</v>
      </c>
      <c r="B8" s="4">
        <v>2025</v>
      </c>
      <c r="C8" s="8" t="str" cm="1">
        <f t="array" ref="C8">TEXT(D8 - Table7[End Period Date], "MMMM")</f>
        <v>November</v>
      </c>
      <c r="D8" s="2">
        <v>45988</v>
      </c>
      <c r="E8" s="9" t="s">
        <v>6</v>
      </c>
      <c r="F8" s="5">
        <f>IF(OR(TblRecords[[#This Row],[Notes]]="OVERTIME",TblRecords[[#This Row],[Notes]]="HOLIDAY OVERTIME"),_xlfn.XLOOKUP(TblRecords[[#This Row],[Full Date]],TblEvent[Full Date],TblEvent[Hour]),0)</f>
        <v>0</v>
      </c>
      <c r="G8" s="5">
        <f>IF(OR(TblRecords[[#This Row],[Notes]]="OVERTIME",TblRecords[[#This Row],[Notes]]="HOLIDAY OVERTIME"),_xlfn.XLOOKUP(TblRecords[[#This Row],[Full Date]],TblEvent[Full Date],TblEvent[Break]),0)</f>
        <v>0</v>
      </c>
      <c r="H8" s="5">
        <f>_xlfn.XLOOKUP(TblRecords[[#This Row],[Shift]],Table6[Shift],Table6[Time],TIME(0,0,0))</f>
        <v>0</v>
      </c>
      <c r="I8" s="5" cm="1">
        <f t="array" ref="I8">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8" s="6">
        <f>IF(AND(ISNUMBER(TblRecords[[#This Row],[Shift]]),TblRecords[[#This Row],[Shift]]&gt;0),IF(TblRecords[[#This Row],[Notes]]="HOLIDAY OVERTIME",0,_xlfn.XLOOKUP(TblRecords[[#This Row],[Payroll Year]],TblDailyPay[Year],TblDailyPay[Rate])),0)</f>
        <v>0</v>
      </c>
      <c r="K8" s="6" cm="1">
        <f t="array" ref="K8">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8" s="6" cm="1">
        <f t="array" ref="L8">_xlfn.XLOOKUP(1,(DAY(TblRecords[[#This Row],[Full Date]])=Table8[Date])*(TblRecords[[#This Row],[Payroll Year]]=Table8[Year]),Table8[Rate],_xlfn.XLOOKUP(TblRecords[[#This Row],[Full Date]],Table8[Date],Table8[Rate],0))</f>
        <v>0</v>
      </c>
      <c r="M8" s="6" t="str" cm="1">
        <f t="array" ref="M8">_xlfn.XLOOKUP(1,(DAY(TblRecords[[#This Row],[Full Date]])=Table8[Date])*(TblRecords[[#This Row],[Payroll Year]]=Table8[Year]),Table8[Type],_xlfn.XLOOKUP(TblRecords[[#This Row],[Full Date]],Table8[Date],Table8[Type],"No Deduction"))</f>
        <v>No Deduction</v>
      </c>
      <c r="N8" t="str">
        <f>IF(ISNUMBER(TblRecords[[#This Row],[Shift]]),_xlfn.XLOOKUP(TblRecords[[#This Row],[Full Date]],TblEvent[Full Date],TblEvent[Type],"ATTENDED"),"OFF")</f>
        <v>OFF</v>
      </c>
    </row>
    <row r="9" spans="1:14" x14ac:dyDescent="0.3">
      <c r="A9" s="4">
        <v>8</v>
      </c>
      <c r="B9" s="4">
        <v>2025</v>
      </c>
      <c r="C9" s="8" t="str" cm="1">
        <f t="array" ref="C9">TEXT(D9 - Table7[End Period Date], "MMMM")</f>
        <v>November</v>
      </c>
      <c r="D9" s="2">
        <v>45989</v>
      </c>
      <c r="E9" s="9">
        <v>3</v>
      </c>
      <c r="F9" s="5">
        <f>IF(OR(TblRecords[[#This Row],[Notes]]="OVERTIME",TblRecords[[#This Row],[Notes]]="HOLIDAY OVERTIME"),_xlfn.XLOOKUP(TblRecords[[#This Row],[Full Date]],TblEvent[Full Date],TblEvent[Hour]),0)</f>
        <v>0</v>
      </c>
      <c r="G9" s="5">
        <f>IF(OR(TblRecords[[#This Row],[Notes]]="OVERTIME",TblRecords[[#This Row],[Notes]]="HOLIDAY OVERTIME"),_xlfn.XLOOKUP(TblRecords[[#This Row],[Full Date]],TblEvent[Full Date],TblEvent[Break]),0)</f>
        <v>0</v>
      </c>
      <c r="H9" s="5">
        <f>_xlfn.XLOOKUP(TblRecords[[#This Row],[Shift]],Table6[Shift],Table6[Time],TIME(0,0,0))</f>
        <v>0.91666666666666663</v>
      </c>
      <c r="I9" s="5" cm="1">
        <f t="array" ref="I9">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9" s="6">
        <f>IF(AND(ISNUMBER(TblRecords[[#This Row],[Shift]]),TblRecords[[#This Row],[Shift]]&gt;0),IF(TblRecords[[#This Row],[Notes]]="HOLIDAY OVERTIME",0,_xlfn.XLOOKUP(TblRecords[[#This Row],[Payroll Year]],TblDailyPay[Year],TblDailyPay[Rate])),0)</f>
        <v>110005</v>
      </c>
      <c r="K9" s="6" cm="1">
        <f t="array" ref="K9">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9" s="6" cm="1">
        <f t="array" ref="L9">_xlfn.XLOOKUP(1,(DAY(TblRecords[[#This Row],[Full Date]])=Table8[Date])*(TblRecords[[#This Row],[Payroll Year]]=Table8[Year]),Table8[Rate],_xlfn.XLOOKUP(TblRecords[[#This Row],[Full Date]],Table8[Date],Table8[Rate],0))</f>
        <v>0</v>
      </c>
      <c r="M9" s="6" t="str" cm="1">
        <f t="array" ref="M9">_xlfn.XLOOKUP(1,(DAY(TblRecords[[#This Row],[Full Date]])=Table8[Date])*(TblRecords[[#This Row],[Payroll Year]]=Table8[Year]),Table8[Type],_xlfn.XLOOKUP(TblRecords[[#This Row],[Full Date]],Table8[Date],Table8[Type],"No Deduction"))</f>
        <v>No Deduction</v>
      </c>
      <c r="N9" t="str">
        <f>IF(ISNUMBER(TblRecords[[#This Row],[Shift]]),_xlfn.XLOOKUP(TblRecords[[#This Row],[Full Date]],TblEvent[Full Date],TblEvent[Type],"ATTENDED"),"OFF")</f>
        <v>ATTENDED</v>
      </c>
    </row>
    <row r="10" spans="1:14" x14ac:dyDescent="0.3">
      <c r="A10" s="4">
        <v>9</v>
      </c>
      <c r="B10" s="4">
        <v>2025</v>
      </c>
      <c r="C10" s="8" t="str" cm="1">
        <f t="array" ref="C10">TEXT(D10 - Table7[End Period Date], "MMMM")</f>
        <v>November</v>
      </c>
      <c r="D10" s="2">
        <v>45990</v>
      </c>
      <c r="E10" s="9" t="s">
        <v>6</v>
      </c>
      <c r="F10" s="5">
        <f>IF(OR(TblRecords[[#This Row],[Notes]]="OVERTIME",TblRecords[[#This Row],[Notes]]="HOLIDAY OVERTIME"),_xlfn.XLOOKUP(TblRecords[[#This Row],[Full Date]],TblEvent[Full Date],TblEvent[Hour]),0)</f>
        <v>0</v>
      </c>
      <c r="G10" s="5">
        <f>IF(OR(TblRecords[[#This Row],[Notes]]="OVERTIME",TblRecords[[#This Row],[Notes]]="HOLIDAY OVERTIME"),_xlfn.XLOOKUP(TblRecords[[#This Row],[Full Date]],TblEvent[Full Date],TblEvent[Break]),0)</f>
        <v>0</v>
      </c>
      <c r="H10" s="5">
        <f>_xlfn.XLOOKUP(TblRecords[[#This Row],[Shift]],Table6[Shift],Table6[Time],TIME(0,0,0))</f>
        <v>0</v>
      </c>
      <c r="I10" s="5" cm="1">
        <f t="array" ref="I10">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10" s="6">
        <f>IF(AND(ISNUMBER(TblRecords[[#This Row],[Shift]]),TblRecords[[#This Row],[Shift]]&gt;0),IF(TblRecords[[#This Row],[Notes]]="HOLIDAY OVERTIME",0,_xlfn.XLOOKUP(TblRecords[[#This Row],[Payroll Year]],TblDailyPay[Year],TblDailyPay[Rate])),0)</f>
        <v>0</v>
      </c>
      <c r="K10" s="6" cm="1">
        <f t="array" ref="K10">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0" s="6" cm="1">
        <f t="array" ref="L10">_xlfn.XLOOKUP(1,(DAY(TblRecords[[#This Row],[Full Date]])=Table8[Date])*(TblRecords[[#This Row],[Payroll Year]]=Table8[Year]),Table8[Rate],_xlfn.XLOOKUP(TblRecords[[#This Row],[Full Date]],Table8[Date],Table8[Rate],0))</f>
        <v>0</v>
      </c>
      <c r="M10" s="6" t="str" cm="1">
        <f t="array" ref="M10">_xlfn.XLOOKUP(1,(DAY(TblRecords[[#This Row],[Full Date]])=Table8[Date])*(TblRecords[[#This Row],[Payroll Year]]=Table8[Year]),Table8[Type],_xlfn.XLOOKUP(TblRecords[[#This Row],[Full Date]],Table8[Date],Table8[Type],"No Deduction"))</f>
        <v>No Deduction</v>
      </c>
      <c r="N10" t="str">
        <f>IF(ISNUMBER(TblRecords[[#This Row],[Shift]]),_xlfn.XLOOKUP(TblRecords[[#This Row],[Full Date]],TblEvent[Full Date],TblEvent[Type],"ATTENDED"),"OFF")</f>
        <v>OFF</v>
      </c>
    </row>
    <row r="11" spans="1:14" x14ac:dyDescent="0.3">
      <c r="A11" s="4">
        <v>10</v>
      </c>
      <c r="B11" s="4">
        <v>2025</v>
      </c>
      <c r="C11" s="8" t="str" cm="1">
        <f t="array" ref="C11">TEXT(D11 - Table7[End Period Date], "MMMM")</f>
        <v>November</v>
      </c>
      <c r="D11" s="2">
        <v>45991</v>
      </c>
      <c r="E11" s="9" t="s">
        <v>6</v>
      </c>
      <c r="F11" s="5">
        <f>IF(OR(TblRecords[[#This Row],[Notes]]="OVERTIME",TblRecords[[#This Row],[Notes]]="HOLIDAY OVERTIME"),_xlfn.XLOOKUP(TblRecords[[#This Row],[Full Date]],TblEvent[Full Date],TblEvent[Hour]),0)</f>
        <v>0</v>
      </c>
      <c r="G11" s="5">
        <f>IF(OR(TblRecords[[#This Row],[Notes]]="OVERTIME",TblRecords[[#This Row],[Notes]]="HOLIDAY OVERTIME"),_xlfn.XLOOKUP(TblRecords[[#This Row],[Full Date]],TblEvent[Full Date],TblEvent[Break]),0)</f>
        <v>0</v>
      </c>
      <c r="H11" s="5">
        <f>_xlfn.XLOOKUP(TblRecords[[#This Row],[Shift]],Table6[Shift],Table6[Time],TIME(0,0,0))</f>
        <v>0</v>
      </c>
      <c r="I11" s="5" cm="1">
        <f t="array" ref="I11">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11" s="6">
        <f>IF(AND(ISNUMBER(TblRecords[[#This Row],[Shift]]),TblRecords[[#This Row],[Shift]]&gt;0),IF(TblRecords[[#This Row],[Notes]]="HOLIDAY OVERTIME",0,_xlfn.XLOOKUP(TblRecords[[#This Row],[Payroll Year]],TblDailyPay[Year],TblDailyPay[Rate])),0)</f>
        <v>0</v>
      </c>
      <c r="K11" s="6" cm="1">
        <f t="array" ref="K11">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1" s="6" cm="1">
        <f t="array" ref="L11">_xlfn.XLOOKUP(1,(DAY(TblRecords[[#This Row],[Full Date]])=Table8[Date])*(TblRecords[[#This Row],[Payroll Year]]=Table8[Year]),Table8[Rate],_xlfn.XLOOKUP(TblRecords[[#This Row],[Full Date]],Table8[Date],Table8[Rate],0))</f>
        <v>0</v>
      </c>
      <c r="M11" s="6" t="str" cm="1">
        <f t="array" ref="M11">_xlfn.XLOOKUP(1,(DAY(TblRecords[[#This Row],[Full Date]])=Table8[Date])*(TblRecords[[#This Row],[Payroll Year]]=Table8[Year]),Table8[Type],_xlfn.XLOOKUP(TblRecords[[#This Row],[Full Date]],Table8[Date],Table8[Type],"No Deduction"))</f>
        <v>No Deduction</v>
      </c>
      <c r="N11" t="str">
        <f>IF(ISNUMBER(TblRecords[[#This Row],[Shift]]),_xlfn.XLOOKUP(TblRecords[[#This Row],[Full Date]],TblEvent[Full Date],TblEvent[Type],"ATTENDED"),"OFF")</f>
        <v>OFF</v>
      </c>
    </row>
    <row r="12" spans="1:14" x14ac:dyDescent="0.3">
      <c r="A12" s="4">
        <v>11</v>
      </c>
      <c r="B12" s="4">
        <v>2025</v>
      </c>
      <c r="C12" s="8" t="str" cm="1">
        <f t="array" ref="C12">TEXT(D12 - Table7[End Period Date], "MMMM")</f>
        <v>November</v>
      </c>
      <c r="D12" s="2">
        <v>45992</v>
      </c>
      <c r="E12" s="9" t="s">
        <v>6</v>
      </c>
      <c r="F12" s="5">
        <f>IF(OR(TblRecords[[#This Row],[Notes]]="OVERTIME",TblRecords[[#This Row],[Notes]]="HOLIDAY OVERTIME"),_xlfn.XLOOKUP(TblRecords[[#This Row],[Full Date]],TblEvent[Full Date],TblEvent[Hour]),0)</f>
        <v>0</v>
      </c>
      <c r="G12" s="5">
        <f>IF(OR(TblRecords[[#This Row],[Notes]]="OVERTIME",TblRecords[[#This Row],[Notes]]="HOLIDAY OVERTIME"),_xlfn.XLOOKUP(TblRecords[[#This Row],[Full Date]],TblEvent[Full Date],TblEvent[Break]),0)</f>
        <v>0</v>
      </c>
      <c r="H12" s="5">
        <f>_xlfn.XLOOKUP(TblRecords[[#This Row],[Shift]],Table6[Shift],Table6[Time],TIME(0,0,0))</f>
        <v>0</v>
      </c>
      <c r="I12" s="5" cm="1">
        <f t="array" ref="I12">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12" s="6">
        <f>IF(AND(ISNUMBER(TblRecords[[#This Row],[Shift]]),TblRecords[[#This Row],[Shift]]&gt;0),IF(TblRecords[[#This Row],[Notes]]="HOLIDAY OVERTIME",0,_xlfn.XLOOKUP(TblRecords[[#This Row],[Payroll Year]],TblDailyPay[Year],TblDailyPay[Rate])),0)</f>
        <v>0</v>
      </c>
      <c r="K12" s="6" cm="1">
        <f t="array" ref="K12">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2" s="6" cm="1">
        <f t="array" ref="L12">_xlfn.XLOOKUP(1,(DAY(TblRecords[[#This Row],[Full Date]])=Table8[Date])*(TblRecords[[#This Row],[Payroll Year]]=Table8[Year]),Table8[Rate],_xlfn.XLOOKUP(TblRecords[[#This Row],[Full Date]],Table8[Date],Table8[Rate],0))</f>
        <v>0</v>
      </c>
      <c r="M12" s="6" t="str" cm="1">
        <f t="array" ref="M12">_xlfn.XLOOKUP(1,(DAY(TblRecords[[#This Row],[Full Date]])=Table8[Date])*(TblRecords[[#This Row],[Payroll Year]]=Table8[Year]),Table8[Type],_xlfn.XLOOKUP(TblRecords[[#This Row],[Full Date]],Table8[Date],Table8[Type],"No Deduction"))</f>
        <v>No Deduction</v>
      </c>
      <c r="N12" t="str">
        <f>IF(ISNUMBER(TblRecords[[#This Row],[Shift]]),_xlfn.XLOOKUP(TblRecords[[#This Row],[Full Date]],TblEvent[Full Date],TblEvent[Type],"ATTENDED"),"OFF")</f>
        <v>OFF</v>
      </c>
    </row>
    <row r="13" spans="1:14" x14ac:dyDescent="0.3">
      <c r="A13" s="4">
        <v>12</v>
      </c>
      <c r="B13" s="4">
        <v>2025</v>
      </c>
      <c r="C13" s="8" t="str" cm="1">
        <f t="array" ref="C13">TEXT(D13 - Table7[End Period Date], "MMMM")</f>
        <v>November</v>
      </c>
      <c r="D13" s="2">
        <v>45993</v>
      </c>
      <c r="E13" s="9">
        <v>2</v>
      </c>
      <c r="F13" s="5">
        <f>IF(OR(TblRecords[[#This Row],[Notes]]="OVERTIME",TblRecords[[#This Row],[Notes]]="HOLIDAY OVERTIME"),_xlfn.XLOOKUP(TblRecords[[#This Row],[Full Date]],TblEvent[Full Date],TblEvent[Hour]),0)</f>
        <v>0</v>
      </c>
      <c r="G13" s="5">
        <f>IF(OR(TblRecords[[#This Row],[Notes]]="OVERTIME",TblRecords[[#This Row],[Notes]]="HOLIDAY OVERTIME"),_xlfn.XLOOKUP(TblRecords[[#This Row],[Full Date]],TblEvent[Full Date],TblEvent[Break]),0)</f>
        <v>0</v>
      </c>
      <c r="H13" s="5">
        <f>_xlfn.XLOOKUP(TblRecords[[#This Row],[Shift]],Table6[Shift],Table6[Time],TIME(0,0,0))</f>
        <v>0.58333333333333337</v>
      </c>
      <c r="I13" s="5" cm="1">
        <f t="array" ref="I13">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13" s="6">
        <f>IF(AND(ISNUMBER(TblRecords[[#This Row],[Shift]]),TblRecords[[#This Row],[Shift]]&gt;0),IF(TblRecords[[#This Row],[Notes]]="HOLIDAY OVERTIME",0,_xlfn.XLOOKUP(TblRecords[[#This Row],[Payroll Year]],TblDailyPay[Year],TblDailyPay[Rate])),0)</f>
        <v>110005</v>
      </c>
      <c r="K13" s="6" cm="1">
        <f t="array" ref="K13">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3" s="6" cm="1">
        <f t="array" ref="L13">_xlfn.XLOOKUP(1,(DAY(TblRecords[[#This Row],[Full Date]])=Table8[Date])*(TblRecords[[#This Row],[Payroll Year]]=Table8[Year]),Table8[Rate],_xlfn.XLOOKUP(TblRecords[[#This Row],[Full Date]],Table8[Date],Table8[Rate],0))</f>
        <v>0</v>
      </c>
      <c r="M13" s="6" t="str" cm="1">
        <f t="array" ref="M13">_xlfn.XLOOKUP(1,(DAY(TblRecords[[#This Row],[Full Date]])=Table8[Date])*(TblRecords[[#This Row],[Payroll Year]]=Table8[Year]),Table8[Type],_xlfn.XLOOKUP(TblRecords[[#This Row],[Full Date]],Table8[Date],Table8[Type],"No Deduction"))</f>
        <v>No Deduction</v>
      </c>
      <c r="N13" t="str">
        <f>IF(ISNUMBER(TblRecords[[#This Row],[Shift]]),_xlfn.XLOOKUP(TblRecords[[#This Row],[Full Date]],TblEvent[Full Date],TblEvent[Type],"ATTENDED"),"OFF")</f>
        <v>ATTENDED</v>
      </c>
    </row>
    <row r="14" spans="1:14" x14ac:dyDescent="0.3">
      <c r="A14" s="4">
        <v>13</v>
      </c>
      <c r="B14" s="4">
        <v>2025</v>
      </c>
      <c r="C14" s="8" t="str" cm="1">
        <f t="array" ref="C14">TEXT(D14 - Table7[End Period Date], "MMMM")</f>
        <v>November</v>
      </c>
      <c r="D14" s="2">
        <v>45994</v>
      </c>
      <c r="E14" s="9">
        <v>2</v>
      </c>
      <c r="F14" s="5">
        <f>IF(OR(TblRecords[[#This Row],[Notes]]="OVERTIME",TblRecords[[#This Row],[Notes]]="HOLIDAY OVERTIME"),_xlfn.XLOOKUP(TblRecords[[#This Row],[Full Date]],TblEvent[Full Date],TblEvent[Hour]),0)</f>
        <v>0</v>
      </c>
      <c r="G14" s="5">
        <f>IF(OR(TblRecords[[#This Row],[Notes]]="OVERTIME",TblRecords[[#This Row],[Notes]]="HOLIDAY OVERTIME"),_xlfn.XLOOKUP(TblRecords[[#This Row],[Full Date]],TblEvent[Full Date],TblEvent[Break]),0)</f>
        <v>0</v>
      </c>
      <c r="H14" s="5">
        <f>_xlfn.XLOOKUP(TblRecords[[#This Row],[Shift]],Table6[Shift],Table6[Time],TIME(0,0,0))</f>
        <v>0.58333333333333337</v>
      </c>
      <c r="I14" s="5" cm="1">
        <f t="array" ref="I14">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14" s="6">
        <f>IF(AND(ISNUMBER(TblRecords[[#This Row],[Shift]]),TblRecords[[#This Row],[Shift]]&gt;0),IF(TblRecords[[#This Row],[Notes]]="HOLIDAY OVERTIME",0,_xlfn.XLOOKUP(TblRecords[[#This Row],[Payroll Year]],TblDailyPay[Year],TblDailyPay[Rate])),0)</f>
        <v>110005</v>
      </c>
      <c r="K14" s="6" cm="1">
        <f t="array" ref="K14">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4" s="6" cm="1">
        <f t="array" ref="L14">_xlfn.XLOOKUP(1,(DAY(TblRecords[[#This Row],[Full Date]])=Table8[Date])*(TblRecords[[#This Row],[Payroll Year]]=Table8[Year]),Table8[Rate],_xlfn.XLOOKUP(TblRecords[[#This Row],[Full Date]],Table8[Date],Table8[Rate],0))</f>
        <v>0</v>
      </c>
      <c r="M14" s="6" t="str" cm="1">
        <f t="array" ref="M14">_xlfn.XLOOKUP(1,(DAY(TblRecords[[#This Row],[Full Date]])=Table8[Date])*(TblRecords[[#This Row],[Payroll Year]]=Table8[Year]),Table8[Type],_xlfn.XLOOKUP(TblRecords[[#This Row],[Full Date]],Table8[Date],Table8[Type],"No Deduction"))</f>
        <v>No Deduction</v>
      </c>
      <c r="N14" t="str">
        <f>IF(ISNUMBER(TblRecords[[#This Row],[Shift]]),_xlfn.XLOOKUP(TblRecords[[#This Row],[Full Date]],TblEvent[Full Date],TblEvent[Type],"ATTENDED"),"OFF")</f>
        <v>ATTENDED</v>
      </c>
    </row>
    <row r="15" spans="1:14" x14ac:dyDescent="0.3">
      <c r="A15" s="4">
        <v>14</v>
      </c>
      <c r="B15" s="4">
        <v>2025</v>
      </c>
      <c r="C15" s="8" t="str" cm="1">
        <f t="array" ref="C15">TEXT(D15 - Table7[End Period Date], "MMMM")</f>
        <v>November</v>
      </c>
      <c r="D15" s="2">
        <v>45995</v>
      </c>
      <c r="E15" s="9">
        <v>2</v>
      </c>
      <c r="F15" s="5">
        <f>IF(OR(TblRecords[[#This Row],[Notes]]="OVERTIME",TblRecords[[#This Row],[Notes]]="HOLIDAY OVERTIME"),_xlfn.XLOOKUP(TblRecords[[#This Row],[Full Date]],TblEvent[Full Date],TblEvent[Hour]),0)</f>
        <v>0</v>
      </c>
      <c r="G15" s="5">
        <f>IF(OR(TblRecords[[#This Row],[Notes]]="OVERTIME",TblRecords[[#This Row],[Notes]]="HOLIDAY OVERTIME"),_xlfn.XLOOKUP(TblRecords[[#This Row],[Full Date]],TblEvent[Full Date],TblEvent[Break]),0)</f>
        <v>0</v>
      </c>
      <c r="H15" s="5">
        <f>_xlfn.XLOOKUP(TblRecords[[#This Row],[Shift]],Table6[Shift],Table6[Time],TIME(0,0,0))</f>
        <v>0.58333333333333337</v>
      </c>
      <c r="I15" s="5" cm="1">
        <f t="array" ref="I15">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15" s="6">
        <f>IF(AND(ISNUMBER(TblRecords[[#This Row],[Shift]]),TblRecords[[#This Row],[Shift]]&gt;0),IF(TblRecords[[#This Row],[Notes]]="HOLIDAY OVERTIME",0,_xlfn.XLOOKUP(TblRecords[[#This Row],[Payroll Year]],TblDailyPay[Year],TblDailyPay[Rate])),0)</f>
        <v>110005</v>
      </c>
      <c r="K15" s="6" cm="1">
        <f t="array" ref="K15">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5" s="6" cm="1">
        <f t="array" ref="L15">_xlfn.XLOOKUP(1,(DAY(TblRecords[[#This Row],[Full Date]])=Table8[Date])*(TblRecords[[#This Row],[Payroll Year]]=Table8[Year]),Table8[Rate],_xlfn.XLOOKUP(TblRecords[[#This Row],[Full Date]],Table8[Date],Table8[Rate],0))</f>
        <v>0</v>
      </c>
      <c r="M15" s="6" t="str" cm="1">
        <f t="array" ref="M15">_xlfn.XLOOKUP(1,(DAY(TblRecords[[#This Row],[Full Date]])=Table8[Date])*(TblRecords[[#This Row],[Payroll Year]]=Table8[Year]),Table8[Type],_xlfn.XLOOKUP(TblRecords[[#This Row],[Full Date]],Table8[Date],Table8[Type],"No Deduction"))</f>
        <v>No Deduction</v>
      </c>
      <c r="N15" t="str">
        <f>IF(ISNUMBER(TblRecords[[#This Row],[Shift]]),_xlfn.XLOOKUP(TblRecords[[#This Row],[Full Date]],TblEvent[Full Date],TblEvent[Type],"ATTENDED"),"OFF")</f>
        <v>ATTENDED</v>
      </c>
    </row>
    <row r="16" spans="1:14" x14ac:dyDescent="0.3">
      <c r="A16" s="4">
        <v>15</v>
      </c>
      <c r="B16" s="4">
        <v>2025</v>
      </c>
      <c r="C16" s="8" t="str" cm="1">
        <f t="array" ref="C16">TEXT(D16 - Table7[End Period Date], "MMMM")</f>
        <v>November</v>
      </c>
      <c r="D16" s="2">
        <v>45996</v>
      </c>
      <c r="E16" s="9">
        <v>2</v>
      </c>
      <c r="F16" s="5">
        <f>IF(OR(TblRecords[[#This Row],[Notes]]="OVERTIME",TblRecords[[#This Row],[Notes]]="HOLIDAY OVERTIME"),_xlfn.XLOOKUP(TblRecords[[#This Row],[Full Date]],TblEvent[Full Date],TblEvent[Hour]),0)</f>
        <v>0</v>
      </c>
      <c r="G16" s="5">
        <f>IF(OR(TblRecords[[#This Row],[Notes]]="OVERTIME",TblRecords[[#This Row],[Notes]]="HOLIDAY OVERTIME"),_xlfn.XLOOKUP(TblRecords[[#This Row],[Full Date]],TblEvent[Full Date],TblEvent[Break]),0)</f>
        <v>0</v>
      </c>
      <c r="H16" s="5">
        <f>_xlfn.XLOOKUP(TblRecords[[#This Row],[Shift]],Table6[Shift],Table6[Time],TIME(0,0,0))</f>
        <v>0.58333333333333337</v>
      </c>
      <c r="I16" s="5" cm="1">
        <f t="array" ref="I16">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16" s="6">
        <f>IF(AND(ISNUMBER(TblRecords[[#This Row],[Shift]]),TblRecords[[#This Row],[Shift]]&gt;0),IF(TblRecords[[#This Row],[Notes]]="HOLIDAY OVERTIME",0,_xlfn.XLOOKUP(TblRecords[[#This Row],[Payroll Year]],TblDailyPay[Year],TblDailyPay[Rate])),0)</f>
        <v>110005</v>
      </c>
      <c r="K16" s="6" cm="1">
        <f t="array" ref="K16">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6" s="6" cm="1">
        <f t="array" ref="L16">_xlfn.XLOOKUP(1,(DAY(TblRecords[[#This Row],[Full Date]])=Table8[Date])*(TblRecords[[#This Row],[Payroll Year]]=Table8[Year]),Table8[Rate],_xlfn.XLOOKUP(TblRecords[[#This Row],[Full Date]],Table8[Date],Table8[Rate],0))</f>
        <v>0</v>
      </c>
      <c r="M16" s="6" t="str" cm="1">
        <f t="array" ref="M16">_xlfn.XLOOKUP(1,(DAY(TblRecords[[#This Row],[Full Date]])=Table8[Date])*(TblRecords[[#This Row],[Payroll Year]]=Table8[Year]),Table8[Type],_xlfn.XLOOKUP(TblRecords[[#This Row],[Full Date]],Table8[Date],Table8[Type],"No Deduction"))</f>
        <v>No Deduction</v>
      </c>
      <c r="N16" t="str">
        <f>IF(ISNUMBER(TblRecords[[#This Row],[Shift]]),_xlfn.XLOOKUP(TblRecords[[#This Row],[Full Date]],TblEvent[Full Date],TblEvent[Type],"ATTENDED"),"OFF")</f>
        <v>ATTENDED</v>
      </c>
    </row>
    <row r="17" spans="1:14" x14ac:dyDescent="0.3">
      <c r="A17" s="4">
        <v>16</v>
      </c>
      <c r="B17" s="4">
        <v>2025</v>
      </c>
      <c r="C17" s="8" t="str" cm="1">
        <f t="array" ref="C17">TEXT(D17 - Table7[End Period Date], "MMMM")</f>
        <v>November</v>
      </c>
      <c r="D17" s="2">
        <v>45997</v>
      </c>
      <c r="E17" s="9">
        <v>2</v>
      </c>
      <c r="F17" s="5">
        <f>IF(OR(TblRecords[[#This Row],[Notes]]="OVERTIME",TblRecords[[#This Row],[Notes]]="HOLIDAY OVERTIME"),_xlfn.XLOOKUP(TblRecords[[#This Row],[Full Date]],TblEvent[Full Date],TblEvent[Hour]),0)</f>
        <v>0</v>
      </c>
      <c r="G17" s="5">
        <f>IF(OR(TblRecords[[#This Row],[Notes]]="OVERTIME",TblRecords[[#This Row],[Notes]]="HOLIDAY OVERTIME"),_xlfn.XLOOKUP(TblRecords[[#This Row],[Full Date]],TblEvent[Full Date],TblEvent[Break]),0)</f>
        <v>0</v>
      </c>
      <c r="H17" s="5">
        <f>_xlfn.XLOOKUP(TblRecords[[#This Row],[Shift]],Table6[Shift],Table6[Time],TIME(0,0,0))</f>
        <v>0.58333333333333337</v>
      </c>
      <c r="I17" s="5" cm="1">
        <f t="array" ref="I17">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17" s="6">
        <f>IF(AND(ISNUMBER(TblRecords[[#This Row],[Shift]]),TblRecords[[#This Row],[Shift]]&gt;0),IF(TblRecords[[#This Row],[Notes]]="HOLIDAY OVERTIME",0,_xlfn.XLOOKUP(TblRecords[[#This Row],[Payroll Year]],TblDailyPay[Year],TblDailyPay[Rate])),0)</f>
        <v>110005</v>
      </c>
      <c r="K17" s="6" cm="1">
        <f t="array" ref="K17">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7" s="6" cm="1">
        <f t="array" ref="L17">_xlfn.XLOOKUP(1,(DAY(TblRecords[[#This Row],[Full Date]])=Table8[Date])*(TblRecords[[#This Row],[Payroll Year]]=Table8[Year]),Table8[Rate],_xlfn.XLOOKUP(TblRecords[[#This Row],[Full Date]],Table8[Date],Table8[Rate],0))</f>
        <v>0</v>
      </c>
      <c r="M17" s="6" t="str" cm="1">
        <f t="array" ref="M17">_xlfn.XLOOKUP(1,(DAY(TblRecords[[#This Row],[Full Date]])=Table8[Date])*(TblRecords[[#This Row],[Payroll Year]]=Table8[Year]),Table8[Type],_xlfn.XLOOKUP(TblRecords[[#This Row],[Full Date]],Table8[Date],Table8[Type],"No Deduction"))</f>
        <v>No Deduction</v>
      </c>
      <c r="N17" t="str">
        <f>IF(ISNUMBER(TblRecords[[#This Row],[Shift]]),_xlfn.XLOOKUP(TblRecords[[#This Row],[Full Date]],TblEvent[Full Date],TblEvent[Type],"ATTENDED"),"OFF")</f>
        <v>ATTENDED</v>
      </c>
    </row>
    <row r="18" spans="1:14" x14ac:dyDescent="0.3">
      <c r="A18" s="4">
        <v>17</v>
      </c>
      <c r="B18" s="4">
        <v>2025</v>
      </c>
      <c r="C18" s="8" t="str" cm="1">
        <f t="array" ref="C18">TEXT(D18 - Table7[End Period Date], "MMMM")</f>
        <v>November</v>
      </c>
      <c r="D18" s="2">
        <v>45998</v>
      </c>
      <c r="E18" s="9" t="s">
        <v>6</v>
      </c>
      <c r="F18" s="5">
        <f>IF(OR(TblRecords[[#This Row],[Notes]]="OVERTIME",TblRecords[[#This Row],[Notes]]="HOLIDAY OVERTIME"),_xlfn.XLOOKUP(TblRecords[[#This Row],[Full Date]],TblEvent[Full Date],TblEvent[Hour]),0)</f>
        <v>0</v>
      </c>
      <c r="G18" s="5">
        <f>IF(OR(TblRecords[[#This Row],[Notes]]="OVERTIME",TblRecords[[#This Row],[Notes]]="HOLIDAY OVERTIME"),_xlfn.XLOOKUP(TblRecords[[#This Row],[Full Date]],TblEvent[Full Date],TblEvent[Break]),0)</f>
        <v>0</v>
      </c>
      <c r="H18" s="5">
        <f>_xlfn.XLOOKUP(TblRecords[[#This Row],[Shift]],Table6[Shift],Table6[Time],TIME(0,0,0))</f>
        <v>0</v>
      </c>
      <c r="I18" s="5" cm="1">
        <f t="array" ref="I18">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18" s="6">
        <f>IF(AND(ISNUMBER(TblRecords[[#This Row],[Shift]]),TblRecords[[#This Row],[Shift]]&gt;0),IF(TblRecords[[#This Row],[Notes]]="HOLIDAY OVERTIME",0,_xlfn.XLOOKUP(TblRecords[[#This Row],[Payroll Year]],TblDailyPay[Year],TblDailyPay[Rate])),0)</f>
        <v>0</v>
      </c>
      <c r="K18" s="6" cm="1">
        <f t="array" ref="K18">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8" s="6" cm="1">
        <f t="array" ref="L18">_xlfn.XLOOKUP(1,(DAY(TblRecords[[#This Row],[Full Date]])=Table8[Date])*(TblRecords[[#This Row],[Payroll Year]]=Table8[Year]),Table8[Rate],_xlfn.XLOOKUP(TblRecords[[#This Row],[Full Date]],Table8[Date],Table8[Rate],0))</f>
        <v>0</v>
      </c>
      <c r="M18" s="6" t="str" cm="1">
        <f t="array" ref="M18">_xlfn.XLOOKUP(1,(DAY(TblRecords[[#This Row],[Full Date]])=Table8[Date])*(TblRecords[[#This Row],[Payroll Year]]=Table8[Year]),Table8[Type],_xlfn.XLOOKUP(TblRecords[[#This Row],[Full Date]],Table8[Date],Table8[Type],"No Deduction"))</f>
        <v>No Deduction</v>
      </c>
      <c r="N18" t="str">
        <f>IF(ISNUMBER(TblRecords[[#This Row],[Shift]]),_xlfn.XLOOKUP(TblRecords[[#This Row],[Full Date]],TblEvent[Full Date],TblEvent[Type],"ATTENDED"),"OFF")</f>
        <v>OFF</v>
      </c>
    </row>
    <row r="19" spans="1:14" x14ac:dyDescent="0.3">
      <c r="A19" s="4">
        <v>18</v>
      </c>
      <c r="B19" s="4">
        <v>2025</v>
      </c>
      <c r="C19" s="8" t="str" cm="1">
        <f t="array" ref="C19">TEXT(D19 - Table7[End Period Date], "MMMM")</f>
        <v>November</v>
      </c>
      <c r="D19" s="2">
        <v>45999</v>
      </c>
      <c r="E19" s="9">
        <v>0</v>
      </c>
      <c r="F19" s="5">
        <f>IF(OR(TblRecords[[#This Row],[Notes]]="OVERTIME",TblRecords[[#This Row],[Notes]]="HOLIDAY OVERTIME"),_xlfn.XLOOKUP(TblRecords[[#This Row],[Full Date]],TblEvent[Full Date],TblEvent[Hour]),0)</f>
        <v>0</v>
      </c>
      <c r="G19" s="5">
        <f>IF(OR(TblRecords[[#This Row],[Notes]]="OVERTIME",TblRecords[[#This Row],[Notes]]="HOLIDAY OVERTIME"),_xlfn.XLOOKUP(TblRecords[[#This Row],[Full Date]],TblEvent[Full Date],TblEvent[Break]),0)</f>
        <v>0</v>
      </c>
      <c r="H19" s="5">
        <f>_xlfn.XLOOKUP(TblRecords[[#This Row],[Shift]],Table6[Shift],Table6[Time],TIME(0,0,0))</f>
        <v>0</v>
      </c>
      <c r="I19" s="5" cm="1">
        <f t="array" ref="I19">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19" s="6">
        <f>IF(AND(ISNUMBER(TblRecords[[#This Row],[Shift]]),TblRecords[[#This Row],[Shift]]&gt;0),IF(TblRecords[[#This Row],[Notes]]="HOLIDAY OVERTIME",0,_xlfn.XLOOKUP(TblRecords[[#This Row],[Payroll Year]],TblDailyPay[Year],TblDailyPay[Rate])),0)</f>
        <v>0</v>
      </c>
      <c r="K19" s="6" cm="1">
        <f t="array" ref="K19">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9" s="6" cm="1">
        <f t="array" ref="L19">_xlfn.XLOOKUP(1,(DAY(TblRecords[[#This Row],[Full Date]])=Table8[Date])*(TblRecords[[#This Row],[Payroll Year]]=Table8[Year]),Table8[Rate],_xlfn.XLOOKUP(TblRecords[[#This Row],[Full Date]],Table8[Date],Table8[Rate],0))</f>
        <v>0</v>
      </c>
      <c r="M19" s="6" t="str" cm="1">
        <f t="array" ref="M19">_xlfn.XLOOKUP(1,(DAY(TblRecords[[#This Row],[Full Date]])=Table8[Date])*(TblRecords[[#This Row],[Payroll Year]]=Table8[Year]),Table8[Type],_xlfn.XLOOKUP(TblRecords[[#This Row],[Full Date]],Table8[Date],Table8[Type],"No Deduction"))</f>
        <v>No Deduction</v>
      </c>
      <c r="N19" t="str">
        <f>IF(ISNUMBER(TblRecords[[#This Row],[Shift]]),_xlfn.XLOOKUP(TblRecords[[#This Row],[Full Date]],TblEvent[Full Date],TblEvent[Type],"ATTENDED"),"OFF")</f>
        <v>SICK</v>
      </c>
    </row>
    <row r="20" spans="1:14" x14ac:dyDescent="0.3">
      <c r="A20" s="4">
        <v>19</v>
      </c>
      <c r="B20" s="4">
        <v>2025</v>
      </c>
      <c r="C20" s="8" t="str" cm="1">
        <f t="array" ref="C20">TEXT(D20 - Table7[End Period Date], "MMMM")</f>
        <v>November</v>
      </c>
      <c r="D20" s="2">
        <v>46000</v>
      </c>
      <c r="E20" s="9">
        <v>1</v>
      </c>
      <c r="F20" s="5">
        <f>IF(OR(TblRecords[[#This Row],[Notes]]="OVERTIME",TblRecords[[#This Row],[Notes]]="HOLIDAY OVERTIME"),_xlfn.XLOOKUP(TblRecords[[#This Row],[Full Date]],TblEvent[Full Date],TblEvent[Hour]),0)</f>
        <v>0</v>
      </c>
      <c r="G20" s="5">
        <f>IF(OR(TblRecords[[#This Row],[Notes]]="OVERTIME",TblRecords[[#This Row],[Notes]]="HOLIDAY OVERTIME"),_xlfn.XLOOKUP(TblRecords[[#This Row],[Full Date]],TblEvent[Full Date],TblEvent[Break]),0)</f>
        <v>0</v>
      </c>
      <c r="H20" s="5">
        <f>_xlfn.XLOOKUP(TblRecords[[#This Row],[Shift]],Table6[Shift],Table6[Time],TIME(0,0,0))</f>
        <v>0.25</v>
      </c>
      <c r="I20" s="5" cm="1">
        <f t="array" ref="I20">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20" s="6">
        <f>IF(AND(ISNUMBER(TblRecords[[#This Row],[Shift]]),TblRecords[[#This Row],[Shift]]&gt;0),IF(TblRecords[[#This Row],[Notes]]="HOLIDAY OVERTIME",0,_xlfn.XLOOKUP(TblRecords[[#This Row],[Payroll Year]],TblDailyPay[Year],TblDailyPay[Rate])),0)</f>
        <v>110005</v>
      </c>
      <c r="K20" s="6" cm="1">
        <f t="array" ref="K20">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20" s="6" cm="1">
        <f t="array" ref="L20">_xlfn.XLOOKUP(1,(DAY(TblRecords[[#This Row],[Full Date]])=Table8[Date])*(TblRecords[[#This Row],[Payroll Year]]=Table8[Year]),Table8[Rate],_xlfn.XLOOKUP(TblRecords[[#This Row],[Full Date]],Table8[Date],Table8[Rate],0))</f>
        <v>0</v>
      </c>
      <c r="M20" s="6" t="str" cm="1">
        <f t="array" ref="M20">_xlfn.XLOOKUP(1,(DAY(TblRecords[[#This Row],[Full Date]])=Table8[Date])*(TblRecords[[#This Row],[Payroll Year]]=Table8[Year]),Table8[Type],_xlfn.XLOOKUP(TblRecords[[#This Row],[Full Date]],Table8[Date],Table8[Type],"No Deduction"))</f>
        <v>No Deduction</v>
      </c>
      <c r="N20" t="str">
        <f>IF(ISNUMBER(TblRecords[[#This Row],[Shift]]),_xlfn.XLOOKUP(TblRecords[[#This Row],[Full Date]],TblEvent[Full Date],TblEvent[Type],"ATTENDED"),"OFF")</f>
        <v>ATTENDED</v>
      </c>
    </row>
    <row r="21" spans="1:14" x14ac:dyDescent="0.3">
      <c r="A21" s="4">
        <v>20</v>
      </c>
      <c r="B21" s="4">
        <v>2025</v>
      </c>
      <c r="C21" s="8" t="str" cm="1">
        <f t="array" ref="C21">TEXT(D21 - Table7[End Period Date], "MMMM")</f>
        <v>November</v>
      </c>
      <c r="D21" s="2">
        <v>46001</v>
      </c>
      <c r="E21" s="9" t="s">
        <v>6</v>
      </c>
      <c r="F21" s="5">
        <f>IF(OR(TblRecords[[#This Row],[Notes]]="OVERTIME",TblRecords[[#This Row],[Notes]]="HOLIDAY OVERTIME"),_xlfn.XLOOKUP(TblRecords[[#This Row],[Full Date]],TblEvent[Full Date],TblEvent[Hour]),0)</f>
        <v>0</v>
      </c>
      <c r="G21" s="5">
        <f>IF(OR(TblRecords[[#This Row],[Notes]]="OVERTIME",TblRecords[[#This Row],[Notes]]="HOLIDAY OVERTIME"),_xlfn.XLOOKUP(TblRecords[[#This Row],[Full Date]],TblEvent[Full Date],TblEvent[Break]),0)</f>
        <v>0</v>
      </c>
      <c r="H21" s="5">
        <f>_xlfn.XLOOKUP(TblRecords[[#This Row],[Shift]],Table6[Shift],Table6[Time],TIME(0,0,0))</f>
        <v>0</v>
      </c>
      <c r="I21" s="5" cm="1">
        <f t="array" ref="I21">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21" s="6">
        <f>IF(AND(ISNUMBER(TblRecords[[#This Row],[Shift]]),TblRecords[[#This Row],[Shift]]&gt;0),IF(TblRecords[[#This Row],[Notes]]="HOLIDAY OVERTIME",0,_xlfn.XLOOKUP(TblRecords[[#This Row],[Payroll Year]],TblDailyPay[Year],TblDailyPay[Rate])),0)</f>
        <v>0</v>
      </c>
      <c r="K21" s="6" cm="1">
        <f t="array" ref="K21">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21" s="6" cm="1">
        <f t="array" ref="L21">_xlfn.XLOOKUP(1,(DAY(TblRecords[[#This Row],[Full Date]])=Table8[Date])*(TblRecords[[#This Row],[Payroll Year]]=Table8[Year]),Table8[Rate],_xlfn.XLOOKUP(TblRecords[[#This Row],[Full Date]],Table8[Date],Table8[Rate],0))</f>
        <v>0</v>
      </c>
      <c r="M21" s="6" t="str" cm="1">
        <f t="array" ref="M21">_xlfn.XLOOKUP(1,(DAY(TblRecords[[#This Row],[Full Date]])=Table8[Date])*(TblRecords[[#This Row],[Payroll Year]]=Table8[Year]),Table8[Type],_xlfn.XLOOKUP(TblRecords[[#This Row],[Full Date]],Table8[Date],Table8[Type],"No Deduction"))</f>
        <v>No Deduction</v>
      </c>
      <c r="N21" t="str">
        <f>IF(ISNUMBER(TblRecords[[#This Row],[Shift]]),_xlfn.XLOOKUP(TblRecords[[#This Row],[Full Date]],TblEvent[Full Date],TblEvent[Type],"ATTENDED"),"OFF")</f>
        <v>OFF</v>
      </c>
    </row>
    <row r="22" spans="1:14" x14ac:dyDescent="0.3">
      <c r="A22" s="4">
        <v>21</v>
      </c>
      <c r="B22" s="4">
        <v>2025</v>
      </c>
      <c r="C22" s="8" t="str" cm="1">
        <f t="array" ref="C22">TEXT(D22 - Table7[End Period Date], "MMMM")</f>
        <v>November</v>
      </c>
      <c r="D22" s="2">
        <v>46002</v>
      </c>
      <c r="E22" s="9">
        <v>1</v>
      </c>
      <c r="F22" s="5">
        <f>IF(OR(TblRecords[[#This Row],[Notes]]="OVERTIME",TblRecords[[#This Row],[Notes]]="HOLIDAY OVERTIME"),_xlfn.XLOOKUP(TblRecords[[#This Row],[Full Date]],TblEvent[Full Date],TblEvent[Hour]),0)</f>
        <v>0</v>
      </c>
      <c r="G22" s="5">
        <f>IF(OR(TblRecords[[#This Row],[Notes]]="OVERTIME",TblRecords[[#This Row],[Notes]]="HOLIDAY OVERTIME"),_xlfn.XLOOKUP(TblRecords[[#This Row],[Full Date]],TblEvent[Full Date],TblEvent[Break]),0)</f>
        <v>0</v>
      </c>
      <c r="H22" s="5">
        <f>_xlfn.XLOOKUP(TblRecords[[#This Row],[Shift]],Table6[Shift],Table6[Time],TIME(0,0,0))</f>
        <v>0.25</v>
      </c>
      <c r="I22" s="5" cm="1">
        <f t="array" ref="I22">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22" s="6">
        <f>IF(AND(ISNUMBER(TblRecords[[#This Row],[Shift]]),TblRecords[[#This Row],[Shift]]&gt;0),IF(TblRecords[[#This Row],[Notes]]="HOLIDAY OVERTIME",0,_xlfn.XLOOKUP(TblRecords[[#This Row],[Payroll Year]],TblDailyPay[Year],TblDailyPay[Rate])),0)</f>
        <v>110005</v>
      </c>
      <c r="K22" s="6" cm="1">
        <f t="array" ref="K22">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22" s="6" cm="1">
        <f t="array" ref="L22">_xlfn.XLOOKUP(1,(DAY(TblRecords[[#This Row],[Full Date]])=Table8[Date])*(TblRecords[[#This Row],[Payroll Year]]=Table8[Year]),Table8[Rate],_xlfn.XLOOKUP(TblRecords[[#This Row],[Full Date]],Table8[Date],Table8[Rate],0))</f>
        <v>0</v>
      </c>
      <c r="M22" s="6" t="str" cm="1">
        <f t="array" ref="M22">_xlfn.XLOOKUP(1,(DAY(TblRecords[[#This Row],[Full Date]])=Table8[Date])*(TblRecords[[#This Row],[Payroll Year]]=Table8[Year]),Table8[Type],_xlfn.XLOOKUP(TblRecords[[#This Row],[Full Date]],Table8[Date],Table8[Type],"No Deduction"))</f>
        <v>No Deduction</v>
      </c>
      <c r="N22" t="str">
        <f>IF(ISNUMBER(TblRecords[[#This Row],[Shift]]),_xlfn.XLOOKUP(TblRecords[[#This Row],[Full Date]],TblEvent[Full Date],TblEvent[Type],"ATTENDED"),"OFF")</f>
        <v>ATTENDED</v>
      </c>
    </row>
    <row r="23" spans="1:14" x14ac:dyDescent="0.3">
      <c r="A23" s="4">
        <v>22</v>
      </c>
      <c r="B23" s="4">
        <v>2025</v>
      </c>
      <c r="C23" s="8" t="str" cm="1">
        <f t="array" ref="C23">TEXT(D23 - Table7[End Period Date], "MMMM")</f>
        <v>November</v>
      </c>
      <c r="D23" s="2">
        <v>46003</v>
      </c>
      <c r="E23" s="9">
        <v>1</v>
      </c>
      <c r="F23" s="5">
        <f>IF(OR(TblRecords[[#This Row],[Notes]]="OVERTIME",TblRecords[[#This Row],[Notes]]="HOLIDAY OVERTIME"),_xlfn.XLOOKUP(TblRecords[[#This Row],[Full Date]],TblEvent[Full Date],TblEvent[Hour]),0)</f>
        <v>0</v>
      </c>
      <c r="G23" s="5">
        <f>IF(OR(TblRecords[[#This Row],[Notes]]="OVERTIME",TblRecords[[#This Row],[Notes]]="HOLIDAY OVERTIME"),_xlfn.XLOOKUP(TblRecords[[#This Row],[Full Date]],TblEvent[Full Date],TblEvent[Break]),0)</f>
        <v>0</v>
      </c>
      <c r="H23" s="5">
        <f>_xlfn.XLOOKUP(TblRecords[[#This Row],[Shift]],Table6[Shift],Table6[Time],TIME(0,0,0))</f>
        <v>0.25</v>
      </c>
      <c r="I23" s="5" cm="1">
        <f t="array" ref="I23">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23" s="6">
        <f>IF(AND(ISNUMBER(TblRecords[[#This Row],[Shift]]),TblRecords[[#This Row],[Shift]]&gt;0),IF(TblRecords[[#This Row],[Notes]]="HOLIDAY OVERTIME",0,_xlfn.XLOOKUP(TblRecords[[#This Row],[Payroll Year]],TblDailyPay[Year],TblDailyPay[Rate])),0)</f>
        <v>110005</v>
      </c>
      <c r="K23" s="6" cm="1">
        <f t="array" ref="K23">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23" s="6" cm="1">
        <f t="array" ref="L23">_xlfn.XLOOKUP(1,(DAY(TblRecords[[#This Row],[Full Date]])=Table8[Date])*(TblRecords[[#This Row],[Payroll Year]]=Table8[Year]),Table8[Rate],_xlfn.XLOOKUP(TblRecords[[#This Row],[Full Date]],Table8[Date],Table8[Rate],0))</f>
        <v>0</v>
      </c>
      <c r="M23" s="6" t="str" cm="1">
        <f t="array" ref="M23">_xlfn.XLOOKUP(1,(DAY(TblRecords[[#This Row],[Full Date]])=Table8[Date])*(TblRecords[[#This Row],[Payroll Year]]=Table8[Year]),Table8[Type],_xlfn.XLOOKUP(TblRecords[[#This Row],[Full Date]],Table8[Date],Table8[Type],"No Deduction"))</f>
        <v>No Deduction</v>
      </c>
      <c r="N23" t="str">
        <f>IF(ISNUMBER(TblRecords[[#This Row],[Shift]]),_xlfn.XLOOKUP(TblRecords[[#This Row],[Full Date]],TblEvent[Full Date],TblEvent[Type],"ATTENDED"),"OFF")</f>
        <v>ATTENDED</v>
      </c>
    </row>
    <row r="24" spans="1:14" x14ac:dyDescent="0.3">
      <c r="A24" s="4">
        <v>23</v>
      </c>
      <c r="B24" s="4">
        <v>2025</v>
      </c>
      <c r="C24" s="8" t="str" cm="1">
        <f t="array" ref="C24">TEXT(D24 - Table7[End Period Date], "MMMM")</f>
        <v>November</v>
      </c>
      <c r="D24" s="2">
        <v>46004</v>
      </c>
      <c r="E24" s="9" t="s">
        <v>6</v>
      </c>
      <c r="F24" s="5">
        <f>IF(OR(TblRecords[[#This Row],[Notes]]="OVERTIME",TblRecords[[#This Row],[Notes]]="HOLIDAY OVERTIME"),_xlfn.XLOOKUP(TblRecords[[#This Row],[Full Date]],TblEvent[Full Date],TblEvent[Hour]),0)</f>
        <v>0</v>
      </c>
      <c r="G24" s="5">
        <f>IF(OR(TblRecords[[#This Row],[Notes]]="OVERTIME",TblRecords[[#This Row],[Notes]]="HOLIDAY OVERTIME"),_xlfn.XLOOKUP(TblRecords[[#This Row],[Full Date]],TblEvent[Full Date],TblEvent[Break]),0)</f>
        <v>0</v>
      </c>
      <c r="H24" s="5">
        <f>_xlfn.XLOOKUP(TblRecords[[#This Row],[Shift]],Table6[Shift],Table6[Time],TIME(0,0,0))</f>
        <v>0</v>
      </c>
      <c r="I24" s="5" cm="1">
        <f t="array" ref="I24">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24" s="6">
        <f>IF(AND(ISNUMBER(TblRecords[[#This Row],[Shift]]),TblRecords[[#This Row],[Shift]]&gt;0),IF(TblRecords[[#This Row],[Notes]]="HOLIDAY OVERTIME",0,_xlfn.XLOOKUP(TblRecords[[#This Row],[Payroll Year]],TblDailyPay[Year],TblDailyPay[Rate])),0)</f>
        <v>0</v>
      </c>
      <c r="K24" s="6" cm="1">
        <f t="array" ref="K24">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24" s="6" cm="1">
        <f t="array" ref="L24">_xlfn.XLOOKUP(1,(DAY(TblRecords[[#This Row],[Full Date]])=Table8[Date])*(TblRecords[[#This Row],[Payroll Year]]=Table8[Year]),Table8[Rate],_xlfn.XLOOKUP(TblRecords[[#This Row],[Full Date]],Table8[Date],Table8[Rate],0))</f>
        <v>0</v>
      </c>
      <c r="M24" s="6" t="str" cm="1">
        <f t="array" ref="M24">_xlfn.XLOOKUP(1,(DAY(TblRecords[[#This Row],[Full Date]])=Table8[Date])*(TblRecords[[#This Row],[Payroll Year]]=Table8[Year]),Table8[Type],_xlfn.XLOOKUP(TblRecords[[#This Row],[Full Date]],Table8[Date],Table8[Type],"No Deduction"))</f>
        <v>No Deduction</v>
      </c>
      <c r="N24" t="str">
        <f>IF(ISNUMBER(TblRecords[[#This Row],[Shift]]),_xlfn.XLOOKUP(TblRecords[[#This Row],[Full Date]],TblEvent[Full Date],TblEvent[Type],"ATTENDED"),"OFF")</f>
        <v>OFF</v>
      </c>
    </row>
    <row r="25" spans="1:14" x14ac:dyDescent="0.3">
      <c r="A25" s="4">
        <v>24</v>
      </c>
      <c r="B25" s="4">
        <v>2025</v>
      </c>
      <c r="C25" s="8" t="str" cm="1">
        <f t="array" ref="C25">TEXT(D25 - Table7[End Period Date], "MMMM")</f>
        <v>November</v>
      </c>
      <c r="D25" s="2">
        <v>46005</v>
      </c>
      <c r="E25" s="9" t="s">
        <v>6</v>
      </c>
      <c r="F25" s="5">
        <f>IF(OR(TblRecords[[#This Row],[Notes]]="OVERTIME",TblRecords[[#This Row],[Notes]]="HOLIDAY OVERTIME"),_xlfn.XLOOKUP(TblRecords[[#This Row],[Full Date]],TblEvent[Full Date],TblEvent[Hour]),0)</f>
        <v>0</v>
      </c>
      <c r="G25" s="5">
        <f>IF(OR(TblRecords[[#This Row],[Notes]]="OVERTIME",TblRecords[[#This Row],[Notes]]="HOLIDAY OVERTIME"),_xlfn.XLOOKUP(TblRecords[[#This Row],[Full Date]],TblEvent[Full Date],TblEvent[Break]),0)</f>
        <v>0</v>
      </c>
      <c r="H25" s="5">
        <f>_xlfn.XLOOKUP(TblRecords[[#This Row],[Shift]],Table6[Shift],Table6[Time],TIME(0,0,0))</f>
        <v>0</v>
      </c>
      <c r="I25" s="5" cm="1">
        <f t="array" ref="I25">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25" s="6">
        <f>IF(AND(ISNUMBER(TblRecords[[#This Row],[Shift]]),TblRecords[[#This Row],[Shift]]&gt;0),IF(TblRecords[[#This Row],[Notes]]="HOLIDAY OVERTIME",0,_xlfn.XLOOKUP(TblRecords[[#This Row],[Payroll Year]],TblDailyPay[Year],TblDailyPay[Rate])),0)</f>
        <v>0</v>
      </c>
      <c r="K25" s="6" cm="1">
        <f t="array" ref="K25">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25" s="6" cm="1">
        <f t="array" ref="L25">_xlfn.XLOOKUP(1,(DAY(TblRecords[[#This Row],[Full Date]])=Table8[Date])*(TblRecords[[#This Row],[Payroll Year]]=Table8[Year]),Table8[Rate],_xlfn.XLOOKUP(TblRecords[[#This Row],[Full Date]],Table8[Date],Table8[Rate],0))</f>
        <v>0</v>
      </c>
      <c r="M25" s="6" t="str" cm="1">
        <f t="array" ref="M25">_xlfn.XLOOKUP(1,(DAY(TblRecords[[#This Row],[Full Date]])=Table8[Date])*(TblRecords[[#This Row],[Payroll Year]]=Table8[Year]),Table8[Type],_xlfn.XLOOKUP(TblRecords[[#This Row],[Full Date]],Table8[Date],Table8[Type],"No Deduction"))</f>
        <v>No Deduction</v>
      </c>
      <c r="N25" t="str">
        <f>IF(ISNUMBER(TblRecords[[#This Row],[Shift]]),_xlfn.XLOOKUP(TblRecords[[#This Row],[Full Date]],TblEvent[Full Date],TblEvent[Type],"ATTENDED"),"OFF")</f>
        <v>OFF</v>
      </c>
    </row>
    <row r="26" spans="1:14" x14ac:dyDescent="0.3">
      <c r="A26" s="4">
        <v>25</v>
      </c>
      <c r="B26" s="4">
        <v>2025</v>
      </c>
      <c r="C26" s="8" t="str" cm="1">
        <f t="array" ref="C26">TEXT(D26 - Table7[End Period Date], "MMMM")</f>
        <v>November</v>
      </c>
      <c r="D26" s="2">
        <v>46006</v>
      </c>
      <c r="E26" s="9">
        <v>3</v>
      </c>
      <c r="F26" s="5">
        <f>IF(OR(TblRecords[[#This Row],[Notes]]="OVERTIME",TblRecords[[#This Row],[Notes]]="HOLIDAY OVERTIME"),_xlfn.XLOOKUP(TblRecords[[#This Row],[Full Date]],TblEvent[Full Date],TblEvent[Hour]),0)</f>
        <v>0</v>
      </c>
      <c r="G26" s="5">
        <f>IF(OR(TblRecords[[#This Row],[Notes]]="OVERTIME",TblRecords[[#This Row],[Notes]]="HOLIDAY OVERTIME"),_xlfn.XLOOKUP(TblRecords[[#This Row],[Full Date]],TblEvent[Full Date],TblEvent[Break]),0)</f>
        <v>0</v>
      </c>
      <c r="H26" s="5">
        <f>_xlfn.XLOOKUP(TblRecords[[#This Row],[Shift]],Table6[Shift],Table6[Time],TIME(0,0,0))</f>
        <v>0.91666666666666663</v>
      </c>
      <c r="I26" s="5" cm="1">
        <f t="array" ref="I26">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26" s="6">
        <f>IF(AND(ISNUMBER(TblRecords[[#This Row],[Shift]]),TblRecords[[#This Row],[Shift]]&gt;0),IF(TblRecords[[#This Row],[Notes]]="HOLIDAY OVERTIME",0,_xlfn.XLOOKUP(TblRecords[[#This Row],[Payroll Year]],TblDailyPay[Year],TblDailyPay[Rate])),0)</f>
        <v>110005</v>
      </c>
      <c r="K26" s="6" cm="1">
        <f t="array" ref="K26">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26" s="6" cm="1">
        <f t="array" ref="L26">_xlfn.XLOOKUP(1,(DAY(TblRecords[[#This Row],[Full Date]])=Table8[Date])*(TblRecords[[#This Row],[Payroll Year]]=Table8[Year]),Table8[Rate],_xlfn.XLOOKUP(TblRecords[[#This Row],[Full Date]],Table8[Date],Table8[Rate],0))</f>
        <v>0</v>
      </c>
      <c r="M26" s="6" t="str" cm="1">
        <f t="array" ref="M26">_xlfn.XLOOKUP(1,(DAY(TblRecords[[#This Row],[Full Date]])=Table8[Date])*(TblRecords[[#This Row],[Payroll Year]]=Table8[Year]),Table8[Type],_xlfn.XLOOKUP(TblRecords[[#This Row],[Full Date]],Table8[Date],Table8[Type],"No Deduction"))</f>
        <v>No Deduction</v>
      </c>
      <c r="N26" t="str">
        <f>IF(ISNUMBER(TblRecords[[#This Row],[Shift]]),_xlfn.XLOOKUP(TblRecords[[#This Row],[Full Date]],TblEvent[Full Date],TblEvent[Type],"ATTENDED"),"OFF")</f>
        <v>ATTENDED</v>
      </c>
    </row>
    <row r="27" spans="1:14" x14ac:dyDescent="0.3">
      <c r="A27" s="4">
        <v>26</v>
      </c>
      <c r="B27" s="4">
        <v>2025</v>
      </c>
      <c r="C27" s="8" t="str" cm="1">
        <f t="array" ref="C27">TEXT(D27 - Table7[End Period Date], "MMMM")</f>
        <v>November</v>
      </c>
      <c r="D27" s="2">
        <v>46007</v>
      </c>
      <c r="E27" s="9">
        <v>3</v>
      </c>
      <c r="F27" s="5">
        <f>IF(OR(TblRecords[[#This Row],[Notes]]="OVERTIME",TblRecords[[#This Row],[Notes]]="HOLIDAY OVERTIME"),_xlfn.XLOOKUP(TblRecords[[#This Row],[Full Date]],TblEvent[Full Date],TblEvent[Hour]),0)</f>
        <v>0</v>
      </c>
      <c r="G27" s="5">
        <f>IF(OR(TblRecords[[#This Row],[Notes]]="OVERTIME",TblRecords[[#This Row],[Notes]]="HOLIDAY OVERTIME"),_xlfn.XLOOKUP(TblRecords[[#This Row],[Full Date]],TblEvent[Full Date],TblEvent[Break]),0)</f>
        <v>0</v>
      </c>
      <c r="H27" s="5">
        <f>_xlfn.XLOOKUP(TblRecords[[#This Row],[Shift]],Table6[Shift],Table6[Time],TIME(0,0,0))</f>
        <v>0.91666666666666663</v>
      </c>
      <c r="I27" s="5" cm="1">
        <f t="array" ref="I27">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27" s="6">
        <f>IF(AND(ISNUMBER(TblRecords[[#This Row],[Shift]]),TblRecords[[#This Row],[Shift]]&gt;0),IF(TblRecords[[#This Row],[Notes]]="HOLIDAY OVERTIME",0,_xlfn.XLOOKUP(TblRecords[[#This Row],[Payroll Year]],TblDailyPay[Year],TblDailyPay[Rate])),0)</f>
        <v>110005</v>
      </c>
      <c r="K27" s="6" cm="1">
        <f t="array" ref="K27">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27" s="6" cm="1">
        <f t="array" ref="L27">_xlfn.XLOOKUP(1,(DAY(TblRecords[[#This Row],[Full Date]])=Table8[Date])*(TblRecords[[#This Row],[Payroll Year]]=Table8[Year]),Table8[Rate],_xlfn.XLOOKUP(TblRecords[[#This Row],[Full Date]],Table8[Date],Table8[Rate],0))</f>
        <v>0</v>
      </c>
      <c r="M27" s="6" t="str" cm="1">
        <f t="array" ref="M27">_xlfn.XLOOKUP(1,(DAY(TblRecords[[#This Row],[Full Date]])=Table8[Date])*(TblRecords[[#This Row],[Payroll Year]]=Table8[Year]),Table8[Type],_xlfn.XLOOKUP(TblRecords[[#This Row],[Full Date]],Table8[Date],Table8[Type],"No Deduction"))</f>
        <v>No Deduction</v>
      </c>
      <c r="N27" t="str">
        <f>IF(ISNUMBER(TblRecords[[#This Row],[Shift]]),_xlfn.XLOOKUP(TblRecords[[#This Row],[Full Date]],TblEvent[Full Date],TblEvent[Type],"ATTENDED"),"OFF")</f>
        <v>ATTENDED</v>
      </c>
    </row>
    <row r="28" spans="1:14" x14ac:dyDescent="0.3">
      <c r="A28" s="4">
        <v>27</v>
      </c>
      <c r="B28" s="4">
        <v>2025</v>
      </c>
      <c r="C28" s="8" t="str" cm="1">
        <f t="array" ref="C28">TEXT(D28 - Table7[End Period Date], "MMMM")</f>
        <v>November</v>
      </c>
      <c r="D28" s="2">
        <v>46008</v>
      </c>
      <c r="E28" s="9">
        <v>3</v>
      </c>
      <c r="F28" s="5">
        <f>IF(OR(TblRecords[[#This Row],[Notes]]="OVERTIME",TblRecords[[#This Row],[Notes]]="HOLIDAY OVERTIME"),_xlfn.XLOOKUP(TblRecords[[#This Row],[Full Date]],TblEvent[Full Date],TblEvent[Hour]),0)</f>
        <v>0</v>
      </c>
      <c r="G28" s="5">
        <f>IF(OR(TblRecords[[#This Row],[Notes]]="OVERTIME",TblRecords[[#This Row],[Notes]]="HOLIDAY OVERTIME"),_xlfn.XLOOKUP(TblRecords[[#This Row],[Full Date]],TblEvent[Full Date],TblEvent[Break]),0)</f>
        <v>0</v>
      </c>
      <c r="H28" s="5">
        <f>_xlfn.XLOOKUP(TblRecords[[#This Row],[Shift]],Table6[Shift],Table6[Time],TIME(0,0,0))</f>
        <v>0.91666666666666663</v>
      </c>
      <c r="I28" s="5" cm="1">
        <f t="array" ref="I28">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28" s="6">
        <f>IF(AND(ISNUMBER(TblRecords[[#This Row],[Shift]]),TblRecords[[#This Row],[Shift]]&gt;0),IF(TblRecords[[#This Row],[Notes]]="HOLIDAY OVERTIME",0,_xlfn.XLOOKUP(TblRecords[[#This Row],[Payroll Year]],TblDailyPay[Year],TblDailyPay[Rate])),0)</f>
        <v>110005</v>
      </c>
      <c r="K28" s="6" cm="1">
        <f t="array" ref="K28">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28" s="6" cm="1">
        <f t="array" ref="L28">_xlfn.XLOOKUP(1,(DAY(TblRecords[[#This Row],[Full Date]])=Table8[Date])*(TblRecords[[#This Row],[Payroll Year]]=Table8[Year]),Table8[Rate],_xlfn.XLOOKUP(TblRecords[[#This Row],[Full Date]],Table8[Date],Table8[Rate],0))</f>
        <v>0</v>
      </c>
      <c r="M28" s="6" t="str" cm="1">
        <f t="array" ref="M28">_xlfn.XLOOKUP(1,(DAY(TblRecords[[#This Row],[Full Date]])=Table8[Date])*(TblRecords[[#This Row],[Payroll Year]]=Table8[Year]),Table8[Type],_xlfn.XLOOKUP(TblRecords[[#This Row],[Full Date]],Table8[Date],Table8[Type],"No Deduction"))</f>
        <v>No Deduction</v>
      </c>
      <c r="N28" t="str">
        <f>IF(ISNUMBER(TblRecords[[#This Row],[Shift]]),_xlfn.XLOOKUP(TblRecords[[#This Row],[Full Date]],TblEvent[Full Date],TblEvent[Type],"ATTENDED"),"OFF")</f>
        <v>ATTENDED</v>
      </c>
    </row>
    <row r="29" spans="1:14" x14ac:dyDescent="0.3">
      <c r="A29" s="4">
        <v>28</v>
      </c>
      <c r="B29" s="4">
        <v>2025</v>
      </c>
      <c r="C29" s="8" t="str" cm="1">
        <f t="array" ref="C29">TEXT(D29 - Table7[End Period Date], "MMMM")</f>
        <v>November</v>
      </c>
      <c r="D29" s="2">
        <v>46009</v>
      </c>
      <c r="E29" s="9">
        <v>3</v>
      </c>
      <c r="F29" s="5">
        <f>IF(OR(TblRecords[[#This Row],[Notes]]="OVERTIME",TblRecords[[#This Row],[Notes]]="HOLIDAY OVERTIME"),_xlfn.XLOOKUP(TblRecords[[#This Row],[Full Date]],TblEvent[Full Date],TblEvent[Hour]),0)</f>
        <v>0</v>
      </c>
      <c r="G29" s="5">
        <f>IF(OR(TblRecords[[#This Row],[Notes]]="OVERTIME",TblRecords[[#This Row],[Notes]]="HOLIDAY OVERTIME"),_xlfn.XLOOKUP(TblRecords[[#This Row],[Full Date]],TblEvent[Full Date],TblEvent[Break]),0)</f>
        <v>0</v>
      </c>
      <c r="H29" s="5">
        <f>_xlfn.XLOOKUP(TblRecords[[#This Row],[Shift]],Table6[Shift],Table6[Time],TIME(0,0,0))</f>
        <v>0.91666666666666663</v>
      </c>
      <c r="I29" s="5" cm="1">
        <f t="array" ref="I29">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29" s="6">
        <f>IF(AND(ISNUMBER(TblRecords[[#This Row],[Shift]]),TblRecords[[#This Row],[Shift]]&gt;0),IF(TblRecords[[#This Row],[Notes]]="HOLIDAY OVERTIME",0,_xlfn.XLOOKUP(TblRecords[[#This Row],[Payroll Year]],TblDailyPay[Year],TblDailyPay[Rate])),0)</f>
        <v>110005</v>
      </c>
      <c r="K29" s="6" cm="1">
        <f t="array" ref="K29">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29" s="6" cm="1">
        <f t="array" ref="L29">_xlfn.XLOOKUP(1,(DAY(TblRecords[[#This Row],[Full Date]])=Table8[Date])*(TblRecords[[#This Row],[Payroll Year]]=Table8[Year]),Table8[Rate],_xlfn.XLOOKUP(TblRecords[[#This Row],[Full Date]],Table8[Date],Table8[Rate],0))</f>
        <v>0</v>
      </c>
      <c r="M29" s="6" t="str" cm="1">
        <f t="array" ref="M29">_xlfn.XLOOKUP(1,(DAY(TblRecords[[#This Row],[Full Date]])=Table8[Date])*(TblRecords[[#This Row],[Payroll Year]]=Table8[Year]),Table8[Type],_xlfn.XLOOKUP(TblRecords[[#This Row],[Full Date]],Table8[Date],Table8[Type],"No Deduction"))</f>
        <v>No Deduction</v>
      </c>
      <c r="N29" t="str">
        <f>IF(ISNUMBER(TblRecords[[#This Row],[Shift]]),_xlfn.XLOOKUP(TblRecords[[#This Row],[Full Date]],TblEvent[Full Date],TblEvent[Type],"ATTENDED"),"OFF")</f>
        <v>ATTENDED</v>
      </c>
    </row>
    <row r="30" spans="1:14" x14ac:dyDescent="0.3">
      <c r="A30" s="4">
        <v>29</v>
      </c>
      <c r="B30" s="4">
        <v>2025</v>
      </c>
      <c r="C30" s="8" t="str" cm="1">
        <f t="array" ref="C30">TEXT(D30 - Table7[End Period Date], "MMMM")</f>
        <v>November</v>
      </c>
      <c r="D30" s="2">
        <v>46010</v>
      </c>
      <c r="E30" s="9">
        <v>3</v>
      </c>
      <c r="F30" s="5">
        <f>IF(OR(TblRecords[[#This Row],[Notes]]="OVERTIME",TblRecords[[#This Row],[Notes]]="HOLIDAY OVERTIME"),_xlfn.XLOOKUP(TblRecords[[#This Row],[Full Date]],TblEvent[Full Date],TblEvent[Hour]),0)</f>
        <v>0</v>
      </c>
      <c r="G30" s="5">
        <f>IF(OR(TblRecords[[#This Row],[Notes]]="OVERTIME",TblRecords[[#This Row],[Notes]]="HOLIDAY OVERTIME"),_xlfn.XLOOKUP(TblRecords[[#This Row],[Full Date]],TblEvent[Full Date],TblEvent[Break]),0)</f>
        <v>0</v>
      </c>
      <c r="H30" s="5">
        <f>_xlfn.XLOOKUP(TblRecords[[#This Row],[Shift]],Table6[Shift],Table6[Time],TIME(0,0,0))</f>
        <v>0.91666666666666663</v>
      </c>
      <c r="I30" s="5" cm="1">
        <f t="array" ref="I30">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30" s="6">
        <f>IF(AND(ISNUMBER(TblRecords[[#This Row],[Shift]]),TblRecords[[#This Row],[Shift]]&gt;0),IF(TblRecords[[#This Row],[Notes]]="HOLIDAY OVERTIME",0,_xlfn.XLOOKUP(TblRecords[[#This Row],[Payroll Year]],TblDailyPay[Year],TblDailyPay[Rate])),0)</f>
        <v>110005</v>
      </c>
      <c r="K30" s="6" cm="1">
        <f t="array" ref="K30">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30" s="6" cm="1">
        <f t="array" ref="L30">_xlfn.XLOOKUP(1,(DAY(TblRecords[[#This Row],[Full Date]])=Table8[Date])*(TblRecords[[#This Row],[Payroll Year]]=Table8[Year]),Table8[Rate],_xlfn.XLOOKUP(TblRecords[[#This Row],[Full Date]],Table8[Date],Table8[Rate],0))</f>
        <v>0</v>
      </c>
      <c r="M30" s="6" t="str" cm="1">
        <f t="array" ref="M30">_xlfn.XLOOKUP(1,(DAY(TblRecords[[#This Row],[Full Date]])=Table8[Date])*(TblRecords[[#This Row],[Payroll Year]]=Table8[Year]),Table8[Type],_xlfn.XLOOKUP(TblRecords[[#This Row],[Full Date]],Table8[Date],Table8[Type],"No Deduction"))</f>
        <v>No Deduction</v>
      </c>
      <c r="N30" t="str">
        <f>IF(ISNUMBER(TblRecords[[#This Row],[Shift]]),_xlfn.XLOOKUP(TblRecords[[#This Row],[Full Date]],TblEvent[Full Date],TblEvent[Type],"ATTENDED"),"OFF")</f>
        <v>ATTENDED</v>
      </c>
    </row>
    <row r="31" spans="1:14" x14ac:dyDescent="0.3">
      <c r="A31" s="4">
        <v>30</v>
      </c>
      <c r="B31" s="4">
        <v>2025</v>
      </c>
      <c r="C31" s="8" t="str" cm="1">
        <f t="array" ref="C31">TEXT(D31 - Table7[End Period Date], "MMMM")</f>
        <v>November</v>
      </c>
      <c r="D31" s="2">
        <v>46011</v>
      </c>
      <c r="E31" s="9" t="s">
        <v>6</v>
      </c>
      <c r="F31" s="5">
        <f>IF(OR(TblRecords[[#This Row],[Notes]]="OVERTIME",TblRecords[[#This Row],[Notes]]="HOLIDAY OVERTIME"),_xlfn.XLOOKUP(TblRecords[[#This Row],[Full Date]],TblEvent[Full Date],TblEvent[Hour]),0)</f>
        <v>0</v>
      </c>
      <c r="G31" s="5">
        <f>IF(OR(TblRecords[[#This Row],[Notes]]="OVERTIME",TblRecords[[#This Row],[Notes]]="HOLIDAY OVERTIME"),_xlfn.XLOOKUP(TblRecords[[#This Row],[Full Date]],TblEvent[Full Date],TblEvent[Break]),0)</f>
        <v>0</v>
      </c>
      <c r="H31" s="5">
        <f>_xlfn.XLOOKUP(TblRecords[[#This Row],[Shift]],Table6[Shift],Table6[Time],TIME(0,0,0))</f>
        <v>0</v>
      </c>
      <c r="I31" s="5" cm="1">
        <f t="array" ref="I31">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31" s="6">
        <f>IF(AND(ISNUMBER(TblRecords[[#This Row],[Shift]]),TblRecords[[#This Row],[Shift]]&gt;0),IF(TblRecords[[#This Row],[Notes]]="HOLIDAY OVERTIME",0,_xlfn.XLOOKUP(TblRecords[[#This Row],[Payroll Year]],TblDailyPay[Year],TblDailyPay[Rate])),0)</f>
        <v>0</v>
      </c>
      <c r="K31" s="6" cm="1">
        <f t="array" ref="K31">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31" s="6" cm="1">
        <f t="array" ref="L31">_xlfn.XLOOKUP(1,(DAY(TblRecords[[#This Row],[Full Date]])=Table8[Date])*(TblRecords[[#This Row],[Payroll Year]]=Table8[Year]),Table8[Rate],_xlfn.XLOOKUP(TblRecords[[#This Row],[Full Date]],Table8[Date],Table8[Rate],0))</f>
        <v>-110005</v>
      </c>
      <c r="M31" s="6" t="str" cm="1">
        <f t="array" ref="M31">_xlfn.XLOOKUP(1,(DAY(TblRecords[[#This Row],[Full Date]])=Table8[Date])*(TblRecords[[#This Row],[Payroll Year]]=Table8[Year]),Table8[Type],_xlfn.XLOOKUP(TblRecords[[#This Row],[Full Date]],Table8[Date],Table8[Type],"No Deduction"))</f>
        <v>BPJS On-Cycle 2025</v>
      </c>
      <c r="N31" t="str">
        <f>IF(ISNUMBER(TblRecords[[#This Row],[Shift]]),_xlfn.XLOOKUP(TblRecords[[#This Row],[Full Date]],TblEvent[Full Date],TblEvent[Type],"ATTENDED"),"OFF")</f>
        <v>OFF</v>
      </c>
    </row>
    <row r="32" spans="1:14" x14ac:dyDescent="0.3">
      <c r="A32" s="4">
        <v>31</v>
      </c>
      <c r="B32" s="4">
        <v>2025</v>
      </c>
      <c r="C32" s="8" t="str" cm="1">
        <f t="array" ref="C32">TEXT(D32 - Table7[End Period Date], "MMMM")</f>
        <v>December</v>
      </c>
      <c r="D32" s="2">
        <v>46012</v>
      </c>
      <c r="E32" s="9" t="s">
        <v>6</v>
      </c>
      <c r="F32" s="5">
        <f>IF(OR(TblRecords[[#This Row],[Notes]]="OVERTIME",TblRecords[[#This Row],[Notes]]="HOLIDAY OVERTIME"),_xlfn.XLOOKUP(TblRecords[[#This Row],[Full Date]],TblEvent[Full Date],TblEvent[Hour]),0)</f>
        <v>0</v>
      </c>
      <c r="G32" s="5">
        <f>IF(OR(TblRecords[[#This Row],[Notes]]="OVERTIME",TblRecords[[#This Row],[Notes]]="HOLIDAY OVERTIME"),_xlfn.XLOOKUP(TblRecords[[#This Row],[Full Date]],TblEvent[Full Date],TblEvent[Break]),0)</f>
        <v>0</v>
      </c>
      <c r="H32" s="5">
        <f>_xlfn.XLOOKUP(TblRecords[[#This Row],[Shift]],Table6[Shift],Table6[Time],TIME(0,0,0))</f>
        <v>0</v>
      </c>
      <c r="I32" s="5" cm="1">
        <f t="array" ref="I32">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32" s="6">
        <f>IF(AND(ISNUMBER(TblRecords[[#This Row],[Shift]]),TblRecords[[#This Row],[Shift]]&gt;0),IF(TblRecords[[#This Row],[Notes]]="HOLIDAY OVERTIME",0,_xlfn.XLOOKUP(TblRecords[[#This Row],[Payroll Year]],TblDailyPay[Year],TblDailyPay[Rate])),0)</f>
        <v>0</v>
      </c>
      <c r="K32" s="6" cm="1">
        <f t="array" ref="K32">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32" s="6" cm="1">
        <f t="array" ref="L32">_xlfn.XLOOKUP(1,(DAY(TblRecords[[#This Row],[Full Date]])=Table8[Date])*(TblRecords[[#This Row],[Payroll Year]]=Table8[Year]),Table8[Rate],_xlfn.XLOOKUP(TblRecords[[#This Row],[Full Date]],Table8[Date],Table8[Rate],0))</f>
        <v>0</v>
      </c>
      <c r="M32" s="6" t="str" cm="1">
        <f t="array" ref="M32">_xlfn.XLOOKUP(1,(DAY(TblRecords[[#This Row],[Full Date]])=Table8[Date])*(TblRecords[[#This Row],[Payroll Year]]=Table8[Year]),Table8[Type],_xlfn.XLOOKUP(TblRecords[[#This Row],[Full Date]],Table8[Date],Table8[Type],"No Deduction"))</f>
        <v>No Deduction</v>
      </c>
      <c r="N32" t="str">
        <f>IF(ISNUMBER(TblRecords[[#This Row],[Shift]]),_xlfn.XLOOKUP(TblRecords[[#This Row],[Full Date]],TblEvent[Full Date],TblEvent[Type],"ATTENDED"),"OFF")</f>
        <v>OFF</v>
      </c>
    </row>
    <row r="33" spans="1:14" x14ac:dyDescent="0.3">
      <c r="A33" s="4">
        <v>32</v>
      </c>
      <c r="B33" s="4">
        <v>2025</v>
      </c>
      <c r="C33" s="8" t="str" cm="1">
        <f t="array" ref="C33">TEXT(D33 - Table7[End Period Date], "MMMM")</f>
        <v>December</v>
      </c>
      <c r="D33" s="2">
        <v>46013</v>
      </c>
      <c r="E33" s="9">
        <v>2</v>
      </c>
      <c r="F33" s="5">
        <f>IF(OR(TblRecords[[#This Row],[Notes]]="OVERTIME",TblRecords[[#This Row],[Notes]]="HOLIDAY OVERTIME"),_xlfn.XLOOKUP(TblRecords[[#This Row],[Full Date]],TblEvent[Full Date],TblEvent[Hour]),0)</f>
        <v>0</v>
      </c>
      <c r="G33" s="5">
        <f>IF(OR(TblRecords[[#This Row],[Notes]]="OVERTIME",TblRecords[[#This Row],[Notes]]="HOLIDAY OVERTIME"),_xlfn.XLOOKUP(TblRecords[[#This Row],[Full Date]],TblEvent[Full Date],TblEvent[Break]),0)</f>
        <v>0</v>
      </c>
      <c r="H33" s="5">
        <f>_xlfn.XLOOKUP(TblRecords[[#This Row],[Shift]],Table6[Shift],Table6[Time],TIME(0,0,0))</f>
        <v>0.58333333333333337</v>
      </c>
      <c r="I33" s="5" cm="1">
        <f t="array" ref="I33">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33" s="6">
        <f>IF(AND(ISNUMBER(TblRecords[[#This Row],[Shift]]),TblRecords[[#This Row],[Shift]]&gt;0),IF(TblRecords[[#This Row],[Notes]]="HOLIDAY OVERTIME",0,_xlfn.XLOOKUP(TblRecords[[#This Row],[Payroll Year]],TblDailyPay[Year],TblDailyPay[Rate])),0)</f>
        <v>110005</v>
      </c>
      <c r="K33" s="6" cm="1">
        <f t="array" ref="K33">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33" s="6" cm="1">
        <f t="array" ref="L33">_xlfn.XLOOKUP(1,(DAY(TblRecords[[#This Row],[Full Date]])=Table8[Date])*(TblRecords[[#This Row],[Payroll Year]]=Table8[Year]),Table8[Rate],_xlfn.XLOOKUP(TblRecords[[#This Row],[Full Date]],Table8[Date],Table8[Rate],0))</f>
        <v>0</v>
      </c>
      <c r="M33" s="6" t="str" cm="1">
        <f t="array" ref="M33">_xlfn.XLOOKUP(1,(DAY(TblRecords[[#This Row],[Full Date]])=Table8[Date])*(TblRecords[[#This Row],[Payroll Year]]=Table8[Year]),Table8[Type],_xlfn.XLOOKUP(TblRecords[[#This Row],[Full Date]],Table8[Date],Table8[Type],"No Deduction"))</f>
        <v>No Deduction</v>
      </c>
      <c r="N33" t="str">
        <f>IF(ISNUMBER(TblRecords[[#This Row],[Shift]]),_xlfn.XLOOKUP(TblRecords[[#This Row],[Full Date]],TblEvent[Full Date],TblEvent[Type],"ATTENDED"),"OFF")</f>
        <v>ATTENDED</v>
      </c>
    </row>
    <row r="34" spans="1:14" x14ac:dyDescent="0.3">
      <c r="A34" s="4">
        <v>33</v>
      </c>
      <c r="B34" s="4">
        <v>2025</v>
      </c>
      <c r="C34" s="8" t="str" cm="1">
        <f t="array" ref="C34">TEXT(D34 - Table7[End Period Date], "MMMM")</f>
        <v>December</v>
      </c>
      <c r="D34" s="2">
        <v>46014</v>
      </c>
      <c r="E34" s="9">
        <v>2</v>
      </c>
      <c r="F34" s="5">
        <f>IF(OR(TblRecords[[#This Row],[Notes]]="OVERTIME",TblRecords[[#This Row],[Notes]]="HOLIDAY OVERTIME"),_xlfn.XLOOKUP(TblRecords[[#This Row],[Full Date]],TblEvent[Full Date],TblEvent[Hour]),0)</f>
        <v>0</v>
      </c>
      <c r="G34" s="5">
        <f>IF(OR(TblRecords[[#This Row],[Notes]]="OVERTIME",TblRecords[[#This Row],[Notes]]="HOLIDAY OVERTIME"),_xlfn.XLOOKUP(TblRecords[[#This Row],[Full Date]],TblEvent[Full Date],TblEvent[Break]),0)</f>
        <v>0</v>
      </c>
      <c r="H34" s="5">
        <f>_xlfn.XLOOKUP(TblRecords[[#This Row],[Shift]],Table6[Shift],Table6[Time],TIME(0,0,0))</f>
        <v>0.58333333333333337</v>
      </c>
      <c r="I34" s="5" cm="1">
        <f t="array" ref="I34">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34" s="6">
        <f>IF(AND(ISNUMBER(TblRecords[[#This Row],[Shift]]),TblRecords[[#This Row],[Shift]]&gt;0),IF(TblRecords[[#This Row],[Notes]]="HOLIDAY OVERTIME",0,_xlfn.XLOOKUP(TblRecords[[#This Row],[Payroll Year]],TblDailyPay[Year],TblDailyPay[Rate])),0)</f>
        <v>110005</v>
      </c>
      <c r="K34" s="6" cm="1">
        <f t="array" ref="K34">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34" s="6" cm="1">
        <f t="array" ref="L34">_xlfn.XLOOKUP(1,(DAY(TblRecords[[#This Row],[Full Date]])=Table8[Date])*(TblRecords[[#This Row],[Payroll Year]]=Table8[Year]),Table8[Rate],_xlfn.XLOOKUP(TblRecords[[#This Row],[Full Date]],Table8[Date],Table8[Rate],0))</f>
        <v>0</v>
      </c>
      <c r="M34" s="6" t="str" cm="1">
        <f t="array" ref="M34">_xlfn.XLOOKUP(1,(DAY(TblRecords[[#This Row],[Full Date]])=Table8[Date])*(TblRecords[[#This Row],[Payroll Year]]=Table8[Year]),Table8[Type],_xlfn.XLOOKUP(TblRecords[[#This Row],[Full Date]],Table8[Date],Table8[Type],"No Deduction"))</f>
        <v>No Deduction</v>
      </c>
      <c r="N34" t="str">
        <f>IF(ISNUMBER(TblRecords[[#This Row],[Shift]]),_xlfn.XLOOKUP(TblRecords[[#This Row],[Full Date]],TblEvent[Full Date],TblEvent[Type],"ATTENDED"),"OFF")</f>
        <v>ATTENDED</v>
      </c>
    </row>
    <row r="35" spans="1:14" x14ac:dyDescent="0.3">
      <c r="A35" s="4">
        <v>34</v>
      </c>
      <c r="B35" s="4">
        <v>2025</v>
      </c>
      <c r="C35" s="8" t="str" cm="1">
        <f t="array" ref="C35">TEXT(D35 - Table7[End Period Date], "MMMM")</f>
        <v>December</v>
      </c>
      <c r="D35" s="2">
        <v>46015</v>
      </c>
      <c r="E35" s="9">
        <v>2</v>
      </c>
      <c r="F35" s="5">
        <f>IF(OR(TblRecords[[#This Row],[Notes]]="OVERTIME",TblRecords[[#This Row],[Notes]]="HOLIDAY OVERTIME"),_xlfn.XLOOKUP(TblRecords[[#This Row],[Full Date]],TblEvent[Full Date],TblEvent[Hour]),0)</f>
        <v>0</v>
      </c>
      <c r="G35" s="5">
        <f>IF(OR(TblRecords[[#This Row],[Notes]]="OVERTIME",TblRecords[[#This Row],[Notes]]="HOLIDAY OVERTIME"),_xlfn.XLOOKUP(TblRecords[[#This Row],[Full Date]],TblEvent[Full Date],TblEvent[Break]),0)</f>
        <v>0</v>
      </c>
      <c r="H35" s="5">
        <f>_xlfn.XLOOKUP(TblRecords[[#This Row],[Shift]],Table6[Shift],Table6[Time],TIME(0,0,0))</f>
        <v>0.58333333333333337</v>
      </c>
      <c r="I35" s="5" cm="1">
        <f t="array" ref="I35">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35" s="6">
        <f>IF(AND(ISNUMBER(TblRecords[[#This Row],[Shift]]),TblRecords[[#This Row],[Shift]]&gt;0),IF(TblRecords[[#This Row],[Notes]]="HOLIDAY OVERTIME",0,_xlfn.XLOOKUP(TblRecords[[#This Row],[Payroll Year]],TblDailyPay[Year],TblDailyPay[Rate])),0)</f>
        <v>110005</v>
      </c>
      <c r="K35" s="6" cm="1">
        <f t="array" ref="K35">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35" s="6" cm="1">
        <f t="array" ref="L35">_xlfn.XLOOKUP(1,(DAY(TblRecords[[#This Row],[Full Date]])=Table8[Date])*(TblRecords[[#This Row],[Payroll Year]]=Table8[Year]),Table8[Rate],_xlfn.XLOOKUP(TblRecords[[#This Row],[Full Date]],Table8[Date],Table8[Rate],0))</f>
        <v>0</v>
      </c>
      <c r="M35" s="6" t="str" cm="1">
        <f t="array" ref="M35">_xlfn.XLOOKUP(1,(DAY(TblRecords[[#This Row],[Full Date]])=Table8[Date])*(TblRecords[[#This Row],[Payroll Year]]=Table8[Year]),Table8[Type],_xlfn.XLOOKUP(TblRecords[[#This Row],[Full Date]],Table8[Date],Table8[Type],"No Deduction"))</f>
        <v>No Deduction</v>
      </c>
      <c r="N35" t="str">
        <f>IF(ISNUMBER(TblRecords[[#This Row],[Shift]]),_xlfn.XLOOKUP(TblRecords[[#This Row],[Full Date]],TblEvent[Full Date],TblEvent[Type],"ATTENDED"),"OFF")</f>
        <v>ATTENDED</v>
      </c>
    </row>
    <row r="36" spans="1:14" x14ac:dyDescent="0.3">
      <c r="A36" s="4">
        <v>35</v>
      </c>
      <c r="B36" s="4">
        <v>2025</v>
      </c>
      <c r="C36" s="8" t="str" cm="1">
        <f t="array" ref="C36">TEXT(D36 - Table7[End Period Date], "MMMM")</f>
        <v>December</v>
      </c>
      <c r="D36" s="2">
        <v>46016</v>
      </c>
      <c r="E36" s="9">
        <v>2</v>
      </c>
      <c r="F36" s="5">
        <f>IF(OR(TblRecords[[#This Row],[Notes]]="OVERTIME",TblRecords[[#This Row],[Notes]]="HOLIDAY OVERTIME"),_xlfn.XLOOKUP(TblRecords[[#This Row],[Full Date]],TblEvent[Full Date],TblEvent[Hour]),0)</f>
        <v>0.29166666666666669</v>
      </c>
      <c r="G36" s="5">
        <f>IF(OR(TblRecords[[#This Row],[Notes]]="OVERTIME",TblRecords[[#This Row],[Notes]]="HOLIDAY OVERTIME"),_xlfn.XLOOKUP(TblRecords[[#This Row],[Full Date]],TblEvent[Full Date],TblEvent[Break]),0)</f>
        <v>4.1666666666666664E-2</v>
      </c>
      <c r="H36" s="5">
        <f>_xlfn.XLOOKUP(TblRecords[[#This Row],[Shift]],Table6[Shift],Table6[Time],TIME(0,0,0))</f>
        <v>0.58333333333333337</v>
      </c>
      <c r="I36" s="5" cm="1">
        <f t="array" ref="I36">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0.91666666666666663</v>
      </c>
      <c r="J36" s="6">
        <f>IF(AND(ISNUMBER(TblRecords[[#This Row],[Shift]]),TblRecords[[#This Row],[Shift]]&gt;0),IF(TblRecords[[#This Row],[Notes]]="HOLIDAY OVERTIME",0,_xlfn.XLOOKUP(TblRecords[[#This Row],[Payroll Year]],TblDailyPay[Year],TblDailyPay[Rate])),0)</f>
        <v>0</v>
      </c>
      <c r="K36" s="6" t="str" cm="1">
        <f t="array" ref="K36">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Not Found</v>
      </c>
      <c r="L36" s="6" cm="1">
        <f t="array" ref="L36">_xlfn.XLOOKUP(1,(DAY(TblRecords[[#This Row],[Full Date]])=Table8[Date])*(TblRecords[[#This Row],[Payroll Year]]=Table8[Year]),Table8[Rate],_xlfn.XLOOKUP(TblRecords[[#This Row],[Full Date]],Table8[Date],Table8[Rate],0))</f>
        <v>0</v>
      </c>
      <c r="M36" s="6" t="str" cm="1">
        <f t="array" ref="M36">_xlfn.XLOOKUP(1,(DAY(TblRecords[[#This Row],[Full Date]])=Table8[Date])*(TblRecords[[#This Row],[Payroll Year]]=Table8[Year]),Table8[Type],_xlfn.XLOOKUP(TblRecords[[#This Row],[Full Date]],Table8[Date],Table8[Type],"No Deduction"))</f>
        <v>No Deduction</v>
      </c>
      <c r="N36" t="str">
        <f>IF(ISNUMBER(TblRecords[[#This Row],[Shift]]),_xlfn.XLOOKUP(TblRecords[[#This Row],[Full Date]],TblEvent[Full Date],TblEvent[Type],"ATTENDED"),"OFF")</f>
        <v>HOLIDAY OVERTIME</v>
      </c>
    </row>
    <row r="37" spans="1:14" x14ac:dyDescent="0.3">
      <c r="A37" s="4">
        <v>36</v>
      </c>
      <c r="B37" s="4">
        <v>2025</v>
      </c>
      <c r="C37" s="8" t="str" cm="1">
        <f t="array" ref="C37">TEXT(D37 - Table7[End Period Date], "MMMM")</f>
        <v>December</v>
      </c>
      <c r="D37" s="2">
        <v>46017</v>
      </c>
      <c r="E37" s="9">
        <v>2</v>
      </c>
      <c r="F37" s="5">
        <f>IF(OR(TblRecords[[#This Row],[Notes]]="OVERTIME",TblRecords[[#This Row],[Notes]]="HOLIDAY OVERTIME"),_xlfn.XLOOKUP(TblRecords[[#This Row],[Full Date]],TblEvent[Full Date],TblEvent[Hour]),0)</f>
        <v>0</v>
      </c>
      <c r="G37" s="5">
        <f>IF(OR(TblRecords[[#This Row],[Notes]]="OVERTIME",TblRecords[[#This Row],[Notes]]="HOLIDAY OVERTIME"),_xlfn.XLOOKUP(TblRecords[[#This Row],[Full Date]],TblEvent[Full Date],TblEvent[Break]),0)</f>
        <v>0</v>
      </c>
      <c r="H37" s="5">
        <f>_xlfn.XLOOKUP(TblRecords[[#This Row],[Shift]],Table6[Shift],Table6[Time],TIME(0,0,0))</f>
        <v>0.58333333333333337</v>
      </c>
      <c r="I37" s="5" cm="1">
        <f t="array" ref="I37">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37" s="6">
        <f>IF(AND(ISNUMBER(TblRecords[[#This Row],[Shift]]),TblRecords[[#This Row],[Shift]]&gt;0),IF(TblRecords[[#This Row],[Notes]]="HOLIDAY OVERTIME",0,_xlfn.XLOOKUP(TblRecords[[#This Row],[Payroll Year]],TblDailyPay[Year],TblDailyPay[Rate])),0)</f>
        <v>110005</v>
      </c>
      <c r="K37" s="6" cm="1">
        <f t="array" ref="K37">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37" s="6" cm="1">
        <f t="array" ref="L37">_xlfn.XLOOKUP(1,(DAY(TblRecords[[#This Row],[Full Date]])=Table8[Date])*(TblRecords[[#This Row],[Payroll Year]]=Table8[Year]),Table8[Rate],_xlfn.XLOOKUP(TblRecords[[#This Row],[Full Date]],Table8[Date],Table8[Rate],0))</f>
        <v>0</v>
      </c>
      <c r="M37" s="6" t="str" cm="1">
        <f t="array" ref="M37">_xlfn.XLOOKUP(1,(DAY(TblRecords[[#This Row],[Full Date]])=Table8[Date])*(TblRecords[[#This Row],[Payroll Year]]=Table8[Year]),Table8[Type],_xlfn.XLOOKUP(TblRecords[[#This Row],[Full Date]],Table8[Date],Table8[Type],"No Deduction"))</f>
        <v>No Deduction</v>
      </c>
      <c r="N37" t="str">
        <f>IF(ISNUMBER(TblRecords[[#This Row],[Shift]]),_xlfn.XLOOKUP(TblRecords[[#This Row],[Full Date]],TblEvent[Full Date],TblEvent[Type],"ATTENDED"),"OFF")</f>
        <v>ATTENDED</v>
      </c>
    </row>
    <row r="38" spans="1:14" x14ac:dyDescent="0.3">
      <c r="A38" s="4">
        <v>37</v>
      </c>
      <c r="B38" s="4">
        <v>2025</v>
      </c>
      <c r="C38" s="8" t="str" cm="1">
        <f t="array" ref="C38">TEXT(D38 - Table7[End Period Date], "MMMM")</f>
        <v>December</v>
      </c>
      <c r="D38" s="2">
        <v>46018</v>
      </c>
      <c r="E38" s="9" t="s">
        <v>6</v>
      </c>
      <c r="F38" s="5">
        <f>IF(OR(TblRecords[[#This Row],[Notes]]="OVERTIME",TblRecords[[#This Row],[Notes]]="HOLIDAY OVERTIME"),_xlfn.XLOOKUP(TblRecords[[#This Row],[Full Date]],TblEvent[Full Date],TblEvent[Hour]),0)</f>
        <v>0</v>
      </c>
      <c r="G38" s="5">
        <f>IF(OR(TblRecords[[#This Row],[Notes]]="OVERTIME",TblRecords[[#This Row],[Notes]]="HOLIDAY OVERTIME"),_xlfn.XLOOKUP(TblRecords[[#This Row],[Full Date]],TblEvent[Full Date],TblEvent[Break]),0)</f>
        <v>0</v>
      </c>
      <c r="H38" s="5">
        <f>_xlfn.XLOOKUP(TblRecords[[#This Row],[Shift]],Table6[Shift],Table6[Time],TIME(0,0,0))</f>
        <v>0</v>
      </c>
      <c r="I38" s="5" cm="1">
        <f t="array" ref="I38">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38" s="6">
        <f>IF(AND(ISNUMBER(TblRecords[[#This Row],[Shift]]),TblRecords[[#This Row],[Shift]]&gt;0),IF(TblRecords[[#This Row],[Notes]]="HOLIDAY OVERTIME",0,_xlfn.XLOOKUP(TblRecords[[#This Row],[Payroll Year]],TblDailyPay[Year],TblDailyPay[Rate])),0)</f>
        <v>0</v>
      </c>
      <c r="K38" s="6" cm="1">
        <f t="array" ref="K38">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38" s="6" cm="1">
        <f t="array" ref="L38">_xlfn.XLOOKUP(1,(DAY(TblRecords[[#This Row],[Full Date]])=Table8[Date])*(TblRecords[[#This Row],[Payroll Year]]=Table8[Year]),Table8[Rate],_xlfn.XLOOKUP(TblRecords[[#This Row],[Full Date]],Table8[Date],Table8[Rate],0))</f>
        <v>0</v>
      </c>
      <c r="M38" s="6" t="str" cm="1">
        <f t="array" ref="M38">_xlfn.XLOOKUP(1,(DAY(TblRecords[[#This Row],[Full Date]])=Table8[Date])*(TblRecords[[#This Row],[Payroll Year]]=Table8[Year]),Table8[Type],_xlfn.XLOOKUP(TblRecords[[#This Row],[Full Date]],Table8[Date],Table8[Type],"No Deduction"))</f>
        <v>No Deduction</v>
      </c>
      <c r="N38" t="str">
        <f>IF(ISNUMBER(TblRecords[[#This Row],[Shift]]),_xlfn.XLOOKUP(TblRecords[[#This Row],[Full Date]],TblEvent[Full Date],TblEvent[Type],"ATTENDED"),"OFF")</f>
        <v>OFF</v>
      </c>
    </row>
    <row r="39" spans="1:14" x14ac:dyDescent="0.3">
      <c r="A39" s="4">
        <v>38</v>
      </c>
      <c r="B39" s="4">
        <v>2025</v>
      </c>
      <c r="C39" s="8" t="str" cm="1">
        <f t="array" ref="C39">TEXT(D39 - Table7[End Period Date], "MMMM")</f>
        <v>December</v>
      </c>
      <c r="D39" s="2">
        <v>46019</v>
      </c>
      <c r="E39" s="9">
        <v>1</v>
      </c>
      <c r="F39" s="5">
        <f>IF(OR(TblRecords[[#This Row],[Notes]]="OVERTIME",TblRecords[[#This Row],[Notes]]="HOLIDAY OVERTIME"),_xlfn.XLOOKUP(TblRecords[[#This Row],[Full Date]],TblEvent[Full Date],TblEvent[Hour]),0)</f>
        <v>0</v>
      </c>
      <c r="G39" s="5">
        <f>IF(OR(TblRecords[[#This Row],[Notes]]="OVERTIME",TblRecords[[#This Row],[Notes]]="HOLIDAY OVERTIME"),_xlfn.XLOOKUP(TblRecords[[#This Row],[Full Date]],TblEvent[Full Date],TblEvent[Break]),0)</f>
        <v>0</v>
      </c>
      <c r="H39" s="5">
        <f>_xlfn.XLOOKUP(TblRecords[[#This Row],[Shift]],Table6[Shift],Table6[Time],TIME(0,0,0))</f>
        <v>0.25</v>
      </c>
      <c r="I39" s="5" cm="1">
        <f t="array" ref="I39">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39" s="6">
        <f>IF(AND(ISNUMBER(TblRecords[[#This Row],[Shift]]),TblRecords[[#This Row],[Shift]]&gt;0),IF(TblRecords[[#This Row],[Notes]]="HOLIDAY OVERTIME",0,_xlfn.XLOOKUP(TblRecords[[#This Row],[Payroll Year]],TblDailyPay[Year],TblDailyPay[Rate])),0)</f>
        <v>110005</v>
      </c>
      <c r="K39" s="6" cm="1">
        <f t="array" ref="K39">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39" s="6" cm="1">
        <f t="array" ref="L39">_xlfn.XLOOKUP(1,(DAY(TblRecords[[#This Row],[Full Date]])=Table8[Date])*(TblRecords[[#This Row],[Payroll Year]]=Table8[Year]),Table8[Rate],_xlfn.XLOOKUP(TblRecords[[#This Row],[Full Date]],Table8[Date],Table8[Rate],0))</f>
        <v>0</v>
      </c>
      <c r="M39" s="6" t="str" cm="1">
        <f t="array" ref="M39">_xlfn.XLOOKUP(1,(DAY(TblRecords[[#This Row],[Full Date]])=Table8[Date])*(TblRecords[[#This Row],[Payroll Year]]=Table8[Year]),Table8[Type],_xlfn.XLOOKUP(TblRecords[[#This Row],[Full Date]],Table8[Date],Table8[Type],"No Deduction"))</f>
        <v>No Deduction</v>
      </c>
      <c r="N39" t="str">
        <f>IF(ISNUMBER(TblRecords[[#This Row],[Shift]]),_xlfn.XLOOKUP(TblRecords[[#This Row],[Full Date]],TblEvent[Full Date],TblEvent[Type],"ATTENDED"),"OFF")</f>
        <v>ATTENDED</v>
      </c>
    </row>
    <row r="40" spans="1:14" x14ac:dyDescent="0.3">
      <c r="A40" s="4">
        <v>39</v>
      </c>
      <c r="B40" s="4">
        <v>2025</v>
      </c>
      <c r="C40" s="8" t="str" cm="1">
        <f t="array" ref="C40">TEXT(D40 - Table7[End Period Date], "MMMM")</f>
        <v>December</v>
      </c>
      <c r="D40" s="2">
        <v>46020</v>
      </c>
      <c r="E40" s="9">
        <v>1</v>
      </c>
      <c r="F40" s="5">
        <f>IF(OR(TblRecords[[#This Row],[Notes]]="OVERTIME",TblRecords[[#This Row],[Notes]]="HOLIDAY OVERTIME"),_xlfn.XLOOKUP(TblRecords[[#This Row],[Full Date]],TblEvent[Full Date],TblEvent[Hour]),0)</f>
        <v>0</v>
      </c>
      <c r="G40" s="5">
        <f>IF(OR(TblRecords[[#This Row],[Notes]]="OVERTIME",TblRecords[[#This Row],[Notes]]="HOLIDAY OVERTIME"),_xlfn.XLOOKUP(TblRecords[[#This Row],[Full Date]],TblEvent[Full Date],TblEvent[Break]),0)</f>
        <v>0</v>
      </c>
      <c r="H40" s="5">
        <f>_xlfn.XLOOKUP(TblRecords[[#This Row],[Shift]],Table6[Shift],Table6[Time],TIME(0,0,0))</f>
        <v>0.25</v>
      </c>
      <c r="I40" s="5" cm="1">
        <f t="array" ref="I40">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40" s="6">
        <f>IF(AND(ISNUMBER(TblRecords[[#This Row],[Shift]]),TblRecords[[#This Row],[Shift]]&gt;0),IF(TblRecords[[#This Row],[Notes]]="HOLIDAY OVERTIME",0,_xlfn.XLOOKUP(TblRecords[[#This Row],[Payroll Year]],TblDailyPay[Year],TblDailyPay[Rate])),0)</f>
        <v>110005</v>
      </c>
      <c r="K40" s="6" cm="1">
        <f t="array" ref="K40">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40" s="6" cm="1">
        <f t="array" ref="L40">_xlfn.XLOOKUP(1,(DAY(TblRecords[[#This Row],[Full Date]])=Table8[Date])*(TblRecords[[#This Row],[Payroll Year]]=Table8[Year]),Table8[Rate],_xlfn.XLOOKUP(TblRecords[[#This Row],[Full Date]],Table8[Date],Table8[Rate],0))</f>
        <v>0</v>
      </c>
      <c r="M40" s="6" t="str" cm="1">
        <f t="array" ref="M40">_xlfn.XLOOKUP(1,(DAY(TblRecords[[#This Row],[Full Date]])=Table8[Date])*(TblRecords[[#This Row],[Payroll Year]]=Table8[Year]),Table8[Type],_xlfn.XLOOKUP(TblRecords[[#This Row],[Full Date]],Table8[Date],Table8[Type],"No Deduction"))</f>
        <v>No Deduction</v>
      </c>
      <c r="N40" t="str">
        <f>IF(ISNUMBER(TblRecords[[#This Row],[Shift]]),_xlfn.XLOOKUP(TblRecords[[#This Row],[Full Date]],TblEvent[Full Date],TblEvent[Type],"ATTENDED"),"OFF")</f>
        <v>ATTENDED</v>
      </c>
    </row>
    <row r="41" spans="1:14" x14ac:dyDescent="0.3">
      <c r="A41" s="4">
        <v>40</v>
      </c>
      <c r="B41" s="4">
        <v>2025</v>
      </c>
      <c r="C41" s="8" t="str" cm="1">
        <f t="array" ref="C41">TEXT(D41 - Table7[End Period Date], "MMMM")</f>
        <v>December</v>
      </c>
      <c r="D41" s="2">
        <v>46021</v>
      </c>
      <c r="E41" s="9">
        <v>1</v>
      </c>
      <c r="F41" s="5">
        <f>IF(OR(TblRecords[[#This Row],[Notes]]="OVERTIME",TblRecords[[#This Row],[Notes]]="HOLIDAY OVERTIME"),_xlfn.XLOOKUP(TblRecords[[#This Row],[Full Date]],TblEvent[Full Date],TblEvent[Hour]),0)</f>
        <v>0</v>
      </c>
      <c r="G41" s="5">
        <f>IF(OR(TblRecords[[#This Row],[Notes]]="OVERTIME",TblRecords[[#This Row],[Notes]]="HOLIDAY OVERTIME"),_xlfn.XLOOKUP(TblRecords[[#This Row],[Full Date]],TblEvent[Full Date],TblEvent[Break]),0)</f>
        <v>0</v>
      </c>
      <c r="H41" s="5">
        <f>_xlfn.XLOOKUP(TblRecords[[#This Row],[Shift]],Table6[Shift],Table6[Time],TIME(0,0,0))</f>
        <v>0.25</v>
      </c>
      <c r="I41" s="5" cm="1">
        <f t="array" ref="I41">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41" s="6">
        <f>IF(AND(ISNUMBER(TblRecords[[#This Row],[Shift]]),TblRecords[[#This Row],[Shift]]&gt;0),IF(TblRecords[[#This Row],[Notes]]="HOLIDAY OVERTIME",0,_xlfn.XLOOKUP(TblRecords[[#This Row],[Payroll Year]],TblDailyPay[Year],TblDailyPay[Rate])),0)</f>
        <v>110005</v>
      </c>
      <c r="K41" s="6" cm="1">
        <f t="array" ref="K41">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41" s="6" cm="1">
        <f t="array" ref="L41">_xlfn.XLOOKUP(1,(DAY(TblRecords[[#This Row],[Full Date]])=Table8[Date])*(TblRecords[[#This Row],[Payroll Year]]=Table8[Year]),Table8[Rate],_xlfn.XLOOKUP(TblRecords[[#This Row],[Full Date]],Table8[Date],Table8[Rate],0))</f>
        <v>0</v>
      </c>
      <c r="M41" s="6" t="str" cm="1">
        <f t="array" ref="M41">_xlfn.XLOOKUP(1,(DAY(TblRecords[[#This Row],[Full Date]])=Table8[Date])*(TblRecords[[#This Row],[Payroll Year]]=Table8[Year]),Table8[Type],_xlfn.XLOOKUP(TblRecords[[#This Row],[Full Date]],Table8[Date],Table8[Type],"No Deduction"))</f>
        <v>No Deduction</v>
      </c>
      <c r="N41" t="str">
        <f>IF(ISNUMBER(TblRecords[[#This Row],[Shift]]),_xlfn.XLOOKUP(TblRecords[[#This Row],[Full Date]],TblEvent[Full Date],TblEvent[Type],"ATTENDED"),"OFF")</f>
        <v>ATTENDED</v>
      </c>
    </row>
    <row r="42" spans="1:14" x14ac:dyDescent="0.3">
      <c r="A42" s="4">
        <v>41</v>
      </c>
      <c r="B42" s="4">
        <v>2025</v>
      </c>
      <c r="C42" s="8" t="str" cm="1">
        <f t="array" ref="C42">TEXT(D42 - Table7[End Period Date], "MMMM")</f>
        <v>December</v>
      </c>
      <c r="D42" s="2">
        <v>46022</v>
      </c>
      <c r="E42" s="9">
        <v>1</v>
      </c>
      <c r="F42" s="5">
        <f>IF(OR(TblRecords[[#This Row],[Notes]]="OVERTIME",TblRecords[[#This Row],[Notes]]="HOLIDAY OVERTIME"),_xlfn.XLOOKUP(TblRecords[[#This Row],[Full Date]],TblEvent[Full Date],TblEvent[Hour]),0)</f>
        <v>0</v>
      </c>
      <c r="G42" s="5">
        <f>IF(OR(TblRecords[[#This Row],[Notes]]="OVERTIME",TblRecords[[#This Row],[Notes]]="HOLIDAY OVERTIME"),_xlfn.XLOOKUP(TblRecords[[#This Row],[Full Date]],TblEvent[Full Date],TblEvent[Break]),0)</f>
        <v>0</v>
      </c>
      <c r="H42" s="5">
        <f>_xlfn.XLOOKUP(TblRecords[[#This Row],[Shift]],Table6[Shift],Table6[Time],TIME(0,0,0))</f>
        <v>0.25</v>
      </c>
      <c r="I42" s="5" cm="1">
        <f t="array" ref="I42">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42" s="6">
        <f>IF(AND(ISNUMBER(TblRecords[[#This Row],[Shift]]),TblRecords[[#This Row],[Shift]]&gt;0),IF(TblRecords[[#This Row],[Notes]]="HOLIDAY OVERTIME",0,_xlfn.XLOOKUP(TblRecords[[#This Row],[Payroll Year]],TblDailyPay[Year],TblDailyPay[Rate])),0)</f>
        <v>110005</v>
      </c>
      <c r="K42" s="6" cm="1">
        <f t="array" ref="K42">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42" s="6" cm="1">
        <f t="array" ref="L42">_xlfn.XLOOKUP(1,(DAY(TblRecords[[#This Row],[Full Date]])=Table8[Date])*(TblRecords[[#This Row],[Payroll Year]]=Table8[Year]),Table8[Rate],_xlfn.XLOOKUP(TblRecords[[#This Row],[Full Date]],Table8[Date],Table8[Rate],0))</f>
        <v>0</v>
      </c>
      <c r="M42" s="6" t="str" cm="1">
        <f t="array" ref="M42">_xlfn.XLOOKUP(1,(DAY(TblRecords[[#This Row],[Full Date]])=Table8[Date])*(TblRecords[[#This Row],[Payroll Year]]=Table8[Year]),Table8[Type],_xlfn.XLOOKUP(TblRecords[[#This Row],[Full Date]],Table8[Date],Table8[Type],"No Deduction"))</f>
        <v>No Deduction</v>
      </c>
      <c r="N42" t="str">
        <f>IF(ISNUMBER(TblRecords[[#This Row],[Shift]]),_xlfn.XLOOKUP(TblRecords[[#This Row],[Full Date]],TblEvent[Full Date],TblEvent[Type],"ATTENDED"),"OFF")</f>
        <v>ATTENDED</v>
      </c>
    </row>
    <row r="43" spans="1:14" x14ac:dyDescent="0.3">
      <c r="A43" s="4">
        <v>42</v>
      </c>
      <c r="B43" s="4">
        <v>2025</v>
      </c>
      <c r="C43" s="8" t="str" cm="1">
        <f t="array" ref="C43">TEXT(D43 - Table7[End Period Date], "MMMM")</f>
        <v>December</v>
      </c>
      <c r="D43" s="2">
        <v>46023</v>
      </c>
      <c r="E43" s="9" t="s">
        <v>6</v>
      </c>
      <c r="F43" s="5">
        <f>IF(OR(TblRecords[[#This Row],[Notes]]="OVERTIME",TblRecords[[#This Row],[Notes]]="HOLIDAY OVERTIME"),_xlfn.XLOOKUP(TblRecords[[#This Row],[Full Date]],TblEvent[Full Date],TblEvent[Hour]),0)</f>
        <v>0</v>
      </c>
      <c r="G43" s="5">
        <f>IF(OR(TblRecords[[#This Row],[Notes]]="OVERTIME",TblRecords[[#This Row],[Notes]]="HOLIDAY OVERTIME"),_xlfn.XLOOKUP(TblRecords[[#This Row],[Full Date]],TblEvent[Full Date],TblEvent[Break]),0)</f>
        <v>0</v>
      </c>
      <c r="H43" s="5">
        <f>_xlfn.XLOOKUP(TblRecords[[#This Row],[Shift]],Table6[Shift],Table6[Time],TIME(0,0,0))</f>
        <v>0</v>
      </c>
      <c r="I43" s="5" cm="1">
        <f t="array" ref="I43">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43" s="6">
        <f>IF(AND(ISNUMBER(TblRecords[[#This Row],[Shift]]),TblRecords[[#This Row],[Shift]]&gt;0),IF(TblRecords[[#This Row],[Notes]]="HOLIDAY OVERTIME",0,_xlfn.XLOOKUP(TblRecords[[#This Row],[Payroll Year]],TblDailyPay[Year],TblDailyPay[Rate])),0)</f>
        <v>0</v>
      </c>
      <c r="K43" s="6" cm="1">
        <f t="array" ref="K43">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43" s="6" cm="1">
        <f t="array" ref="L43">_xlfn.XLOOKUP(1,(DAY(TblRecords[[#This Row],[Full Date]])=Table8[Date])*(TblRecords[[#This Row],[Payroll Year]]=Table8[Year]),Table8[Rate],_xlfn.XLOOKUP(TblRecords[[#This Row],[Full Date]],Table8[Date],Table8[Rate],0))</f>
        <v>0</v>
      </c>
      <c r="M43" s="6" t="str" cm="1">
        <f t="array" ref="M43">_xlfn.XLOOKUP(1,(DAY(TblRecords[[#This Row],[Full Date]])=Table8[Date])*(TblRecords[[#This Row],[Payroll Year]]=Table8[Year]),Table8[Type],_xlfn.XLOOKUP(TblRecords[[#This Row],[Full Date]],Table8[Date],Table8[Type],"No Deduction"))</f>
        <v>No Deduction</v>
      </c>
      <c r="N43" t="str">
        <f>IF(ISNUMBER(TblRecords[[#This Row],[Shift]]),_xlfn.XLOOKUP(TblRecords[[#This Row],[Full Date]],TblEvent[Full Date],TblEvent[Type],"ATTENDED"),"OFF")</f>
        <v>OFF</v>
      </c>
    </row>
    <row r="44" spans="1:14" x14ac:dyDescent="0.3">
      <c r="A44" s="4">
        <v>43</v>
      </c>
      <c r="B44" s="4">
        <v>2025</v>
      </c>
      <c r="C44" s="8" t="str" cm="1">
        <f t="array" ref="C44">TEXT(D44 - Table7[End Period Date], "MMMM")</f>
        <v>December</v>
      </c>
      <c r="D44" s="2">
        <v>46024</v>
      </c>
      <c r="E44" s="9" t="s">
        <v>6</v>
      </c>
      <c r="F44" s="5">
        <f>IF(OR(TblRecords[[#This Row],[Notes]]="OVERTIME",TblRecords[[#This Row],[Notes]]="HOLIDAY OVERTIME"),_xlfn.XLOOKUP(TblRecords[[#This Row],[Full Date]],TblEvent[Full Date],TblEvent[Hour]),0)</f>
        <v>0</v>
      </c>
      <c r="G44" s="5">
        <f>IF(OR(TblRecords[[#This Row],[Notes]]="OVERTIME",TblRecords[[#This Row],[Notes]]="HOLIDAY OVERTIME"),_xlfn.XLOOKUP(TblRecords[[#This Row],[Full Date]],TblEvent[Full Date],TblEvent[Break]),0)</f>
        <v>0</v>
      </c>
      <c r="H44" s="5">
        <f>_xlfn.XLOOKUP(TblRecords[[#This Row],[Shift]],Table6[Shift],Table6[Time],TIME(0,0,0))</f>
        <v>0</v>
      </c>
      <c r="I44" s="5" cm="1">
        <f t="array" ref="I44">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44" s="6">
        <f>IF(AND(ISNUMBER(TblRecords[[#This Row],[Shift]]),TblRecords[[#This Row],[Shift]]&gt;0),IF(TblRecords[[#This Row],[Notes]]="HOLIDAY OVERTIME",0,_xlfn.XLOOKUP(TblRecords[[#This Row],[Payroll Year]],TblDailyPay[Year],TblDailyPay[Rate])),0)</f>
        <v>0</v>
      </c>
      <c r="K44" s="6" cm="1">
        <f t="array" ref="K44">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44" s="6" cm="1">
        <f t="array" ref="L44">_xlfn.XLOOKUP(1,(DAY(TblRecords[[#This Row],[Full Date]])=Table8[Date])*(TblRecords[[#This Row],[Payroll Year]]=Table8[Year]),Table8[Rate],_xlfn.XLOOKUP(TblRecords[[#This Row],[Full Date]],Table8[Date],Table8[Rate],0))</f>
        <v>0</v>
      </c>
      <c r="M44" s="6" t="str" cm="1">
        <f t="array" ref="M44">_xlfn.XLOOKUP(1,(DAY(TblRecords[[#This Row],[Full Date]])=Table8[Date])*(TblRecords[[#This Row],[Payroll Year]]=Table8[Year]),Table8[Type],_xlfn.XLOOKUP(TblRecords[[#This Row],[Full Date]],Table8[Date],Table8[Type],"No Deduction"))</f>
        <v>No Deduction</v>
      </c>
      <c r="N44" t="str">
        <f>IF(ISNUMBER(TblRecords[[#This Row],[Shift]]),_xlfn.XLOOKUP(TblRecords[[#This Row],[Full Date]],TblEvent[Full Date],TblEvent[Type],"ATTENDED"),"OFF")</f>
        <v>OFF</v>
      </c>
    </row>
    <row r="45" spans="1:14" x14ac:dyDescent="0.3">
      <c r="A45" s="4">
        <v>44</v>
      </c>
      <c r="B45" s="4">
        <v>2025</v>
      </c>
      <c r="C45" s="8" t="str" cm="1">
        <f t="array" ref="C45">TEXT(D45 - Table7[End Period Date], "MMMM")</f>
        <v>December</v>
      </c>
      <c r="D45" s="2">
        <v>46025</v>
      </c>
      <c r="E45" s="9" t="s">
        <v>6</v>
      </c>
      <c r="F45" s="5">
        <f>IF(OR(TblRecords[[#This Row],[Notes]]="OVERTIME",TblRecords[[#This Row],[Notes]]="HOLIDAY OVERTIME"),_xlfn.XLOOKUP(TblRecords[[#This Row],[Full Date]],TblEvent[Full Date],TblEvent[Hour]),0)</f>
        <v>0</v>
      </c>
      <c r="G45" s="5">
        <f>IF(OR(TblRecords[[#This Row],[Notes]]="OVERTIME",TblRecords[[#This Row],[Notes]]="HOLIDAY OVERTIME"),_xlfn.XLOOKUP(TblRecords[[#This Row],[Full Date]],TblEvent[Full Date],TblEvent[Break]),0)</f>
        <v>0</v>
      </c>
      <c r="H45" s="5">
        <f>_xlfn.XLOOKUP(TblRecords[[#This Row],[Shift]],Table6[Shift],Table6[Time],TIME(0,0,0))</f>
        <v>0</v>
      </c>
      <c r="I45" s="5" cm="1">
        <f t="array" ref="I45">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45" s="6">
        <f>IF(AND(ISNUMBER(TblRecords[[#This Row],[Shift]]),TblRecords[[#This Row],[Shift]]&gt;0),IF(TblRecords[[#This Row],[Notes]]="HOLIDAY OVERTIME",0,_xlfn.XLOOKUP(TblRecords[[#This Row],[Payroll Year]],TblDailyPay[Year],TblDailyPay[Rate])),0)</f>
        <v>0</v>
      </c>
      <c r="K45" s="6" cm="1">
        <f t="array" ref="K45">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45" s="6" cm="1">
        <f t="array" ref="L45">_xlfn.XLOOKUP(1,(DAY(TblRecords[[#This Row],[Full Date]])=Table8[Date])*(TblRecords[[#This Row],[Payroll Year]]=Table8[Year]),Table8[Rate],_xlfn.XLOOKUP(TblRecords[[#This Row],[Full Date]],Table8[Date],Table8[Rate],0))</f>
        <v>0</v>
      </c>
      <c r="M45" s="6" t="str" cm="1">
        <f t="array" ref="M45">_xlfn.XLOOKUP(1,(DAY(TblRecords[[#This Row],[Full Date]])=Table8[Date])*(TblRecords[[#This Row],[Payroll Year]]=Table8[Year]),Table8[Type],_xlfn.XLOOKUP(TblRecords[[#This Row],[Full Date]],Table8[Date],Table8[Type],"No Deduction"))</f>
        <v>No Deduction</v>
      </c>
      <c r="N45" t="str">
        <f>IF(ISNUMBER(TblRecords[[#This Row],[Shift]]),_xlfn.XLOOKUP(TblRecords[[#This Row],[Full Date]],TblEvent[Full Date],TblEvent[Type],"ATTENDED"),"OFF")</f>
        <v>OFF</v>
      </c>
    </row>
    <row r="46" spans="1:14" x14ac:dyDescent="0.3">
      <c r="A46" s="4">
        <v>45</v>
      </c>
      <c r="B46" s="4">
        <v>2025</v>
      </c>
      <c r="C46" s="8" t="str" cm="1">
        <f t="array" ref="C46">TEXT(D46 - Table7[End Period Date], "MMMM")</f>
        <v>December</v>
      </c>
      <c r="D46" s="2">
        <v>46026</v>
      </c>
      <c r="E46" s="9">
        <v>3</v>
      </c>
      <c r="F46" s="5">
        <f>IF(OR(TblRecords[[#This Row],[Notes]]="OVERTIME",TblRecords[[#This Row],[Notes]]="HOLIDAY OVERTIME"),_xlfn.XLOOKUP(TblRecords[[#This Row],[Full Date]],TblEvent[Full Date],TblEvent[Hour]),0)</f>
        <v>0</v>
      </c>
      <c r="G46" s="5">
        <f>IF(OR(TblRecords[[#This Row],[Notes]]="OVERTIME",TblRecords[[#This Row],[Notes]]="HOLIDAY OVERTIME"),_xlfn.XLOOKUP(TblRecords[[#This Row],[Full Date]],TblEvent[Full Date],TblEvent[Break]),0)</f>
        <v>0</v>
      </c>
      <c r="H46" s="5">
        <f>_xlfn.XLOOKUP(TblRecords[[#This Row],[Shift]],Table6[Shift],Table6[Time],TIME(0,0,0))</f>
        <v>0.91666666666666663</v>
      </c>
      <c r="I46" s="5" cm="1">
        <f t="array" ref="I46">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46" s="6">
        <f>IF(AND(ISNUMBER(TblRecords[[#This Row],[Shift]]),TblRecords[[#This Row],[Shift]]&gt;0),IF(TblRecords[[#This Row],[Notes]]="HOLIDAY OVERTIME",0,_xlfn.XLOOKUP(TblRecords[[#This Row],[Payroll Year]],TblDailyPay[Year],TblDailyPay[Rate])),0)</f>
        <v>110005</v>
      </c>
      <c r="K46" s="6" cm="1">
        <f t="array" ref="K46">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46" s="6" cm="1">
        <f t="array" ref="L46">_xlfn.XLOOKUP(1,(DAY(TblRecords[[#This Row],[Full Date]])=Table8[Date])*(TblRecords[[#This Row],[Payroll Year]]=Table8[Year]),Table8[Rate],_xlfn.XLOOKUP(TblRecords[[#This Row],[Full Date]],Table8[Date],Table8[Rate],0))</f>
        <v>0</v>
      </c>
      <c r="M46" s="6" t="str" cm="1">
        <f t="array" ref="M46">_xlfn.XLOOKUP(1,(DAY(TblRecords[[#This Row],[Full Date]])=Table8[Date])*(TblRecords[[#This Row],[Payroll Year]]=Table8[Year]),Table8[Type],_xlfn.XLOOKUP(TblRecords[[#This Row],[Full Date]],Table8[Date],Table8[Type],"No Deduction"))</f>
        <v>No Deduction</v>
      </c>
      <c r="N46" t="str">
        <f>IF(ISNUMBER(TblRecords[[#This Row],[Shift]]),_xlfn.XLOOKUP(TblRecords[[#This Row],[Full Date]],TblEvent[Full Date],TblEvent[Type],"ATTENDED"),"OFF")</f>
        <v>ATTENDED</v>
      </c>
    </row>
    <row r="47" spans="1:14" x14ac:dyDescent="0.3">
      <c r="A47" s="4">
        <v>46</v>
      </c>
      <c r="B47" s="4">
        <v>2025</v>
      </c>
      <c r="C47" s="8" t="str" cm="1">
        <f t="array" ref="C47">TEXT(D47 - Table7[End Period Date], "MMMM")</f>
        <v>December</v>
      </c>
      <c r="D47" s="2">
        <v>46027</v>
      </c>
      <c r="E47" s="9">
        <v>3</v>
      </c>
      <c r="F47" s="5">
        <f>IF(OR(TblRecords[[#This Row],[Notes]]="OVERTIME",TblRecords[[#This Row],[Notes]]="HOLIDAY OVERTIME"),_xlfn.XLOOKUP(TblRecords[[#This Row],[Full Date]],TblEvent[Full Date],TblEvent[Hour]),0)</f>
        <v>0</v>
      </c>
      <c r="G47" s="5">
        <f>IF(OR(TblRecords[[#This Row],[Notes]]="OVERTIME",TblRecords[[#This Row],[Notes]]="HOLIDAY OVERTIME"),_xlfn.XLOOKUP(TblRecords[[#This Row],[Full Date]],TblEvent[Full Date],TblEvent[Break]),0)</f>
        <v>0</v>
      </c>
      <c r="H47" s="5">
        <f>_xlfn.XLOOKUP(TblRecords[[#This Row],[Shift]],Table6[Shift],Table6[Time],TIME(0,0,0))</f>
        <v>0.91666666666666663</v>
      </c>
      <c r="I47" s="5" cm="1">
        <f t="array" ref="I47">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47" s="6">
        <f>IF(AND(ISNUMBER(TblRecords[[#This Row],[Shift]]),TblRecords[[#This Row],[Shift]]&gt;0),IF(TblRecords[[#This Row],[Notes]]="HOLIDAY OVERTIME",0,_xlfn.XLOOKUP(TblRecords[[#This Row],[Payroll Year]],TblDailyPay[Year],TblDailyPay[Rate])),0)</f>
        <v>110005</v>
      </c>
      <c r="K47" s="6" cm="1">
        <f t="array" ref="K47">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47" s="6" cm="1">
        <f t="array" ref="L47">_xlfn.XLOOKUP(1,(DAY(TblRecords[[#This Row],[Full Date]])=Table8[Date])*(TblRecords[[#This Row],[Payroll Year]]=Table8[Year]),Table8[Rate],_xlfn.XLOOKUP(TblRecords[[#This Row],[Full Date]],Table8[Date],Table8[Rate],0))</f>
        <v>0</v>
      </c>
      <c r="M47" s="6" t="str" cm="1">
        <f t="array" ref="M47">_xlfn.XLOOKUP(1,(DAY(TblRecords[[#This Row],[Full Date]])=Table8[Date])*(TblRecords[[#This Row],[Payroll Year]]=Table8[Year]),Table8[Type],_xlfn.XLOOKUP(TblRecords[[#This Row],[Full Date]],Table8[Date],Table8[Type],"No Deduction"))</f>
        <v>No Deduction</v>
      </c>
      <c r="N47" t="str">
        <f>IF(ISNUMBER(TblRecords[[#This Row],[Shift]]),_xlfn.XLOOKUP(TblRecords[[#This Row],[Full Date]],TblEvent[Full Date],TblEvent[Type],"ATTENDED"),"OFF")</f>
        <v>ATTENDED</v>
      </c>
    </row>
    <row r="48" spans="1:14" x14ac:dyDescent="0.3">
      <c r="A48" s="4">
        <v>47</v>
      </c>
      <c r="B48" s="4">
        <v>2025</v>
      </c>
      <c r="C48" s="8" t="str" cm="1">
        <f t="array" ref="C48">TEXT(D48 - Table7[End Period Date], "MMMM")</f>
        <v>December</v>
      </c>
      <c r="D48" s="2">
        <v>46028</v>
      </c>
      <c r="E48" s="9">
        <v>3</v>
      </c>
      <c r="F48" s="5">
        <f>IF(OR(TblRecords[[#This Row],[Notes]]="OVERTIME",TblRecords[[#This Row],[Notes]]="HOLIDAY OVERTIME"),_xlfn.XLOOKUP(TblRecords[[#This Row],[Full Date]],TblEvent[Full Date],TblEvent[Hour]),0)</f>
        <v>0</v>
      </c>
      <c r="G48" s="5">
        <f>IF(OR(TblRecords[[#This Row],[Notes]]="OVERTIME",TblRecords[[#This Row],[Notes]]="HOLIDAY OVERTIME"),_xlfn.XLOOKUP(TblRecords[[#This Row],[Full Date]],TblEvent[Full Date],TblEvent[Break]),0)</f>
        <v>0</v>
      </c>
      <c r="H48" s="5">
        <f>_xlfn.XLOOKUP(TblRecords[[#This Row],[Shift]],Table6[Shift],Table6[Time],TIME(0,0,0))</f>
        <v>0.91666666666666663</v>
      </c>
      <c r="I48" s="5" cm="1">
        <f t="array" ref="I48">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48" s="6">
        <f>IF(AND(ISNUMBER(TblRecords[[#This Row],[Shift]]),TblRecords[[#This Row],[Shift]]&gt;0),IF(TblRecords[[#This Row],[Notes]]="HOLIDAY OVERTIME",0,_xlfn.XLOOKUP(TblRecords[[#This Row],[Payroll Year]],TblDailyPay[Year],TblDailyPay[Rate])),0)</f>
        <v>110005</v>
      </c>
      <c r="K48" s="6" cm="1">
        <f t="array" ref="K48">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48" s="6" cm="1">
        <f t="array" ref="L48">_xlfn.XLOOKUP(1,(DAY(TblRecords[[#This Row],[Full Date]])=Table8[Date])*(TblRecords[[#This Row],[Payroll Year]]=Table8[Year]),Table8[Rate],_xlfn.XLOOKUP(TblRecords[[#This Row],[Full Date]],Table8[Date],Table8[Rate],0))</f>
        <v>0</v>
      </c>
      <c r="M48" s="6" t="str" cm="1">
        <f t="array" ref="M48">_xlfn.XLOOKUP(1,(DAY(TblRecords[[#This Row],[Full Date]])=Table8[Date])*(TblRecords[[#This Row],[Payroll Year]]=Table8[Year]),Table8[Type],_xlfn.XLOOKUP(TblRecords[[#This Row],[Full Date]],Table8[Date],Table8[Type],"No Deduction"))</f>
        <v>No Deduction</v>
      </c>
      <c r="N48" t="str">
        <f>IF(ISNUMBER(TblRecords[[#This Row],[Shift]]),_xlfn.XLOOKUP(TblRecords[[#This Row],[Full Date]],TblEvent[Full Date],TblEvent[Type],"ATTENDED"),"OFF")</f>
        <v>ATTENDED</v>
      </c>
    </row>
    <row r="49" spans="1:14" x14ac:dyDescent="0.3">
      <c r="A49" s="4">
        <v>48</v>
      </c>
      <c r="B49" s="4">
        <v>2025</v>
      </c>
      <c r="C49" s="8" t="str" cm="1">
        <f t="array" ref="C49">TEXT(D49 - Table7[End Period Date], "MMMM")</f>
        <v>December</v>
      </c>
      <c r="D49" s="2">
        <v>46029</v>
      </c>
      <c r="E49" s="9">
        <v>3</v>
      </c>
      <c r="F49" s="5">
        <f>IF(OR(TblRecords[[#This Row],[Notes]]="OVERTIME",TblRecords[[#This Row],[Notes]]="HOLIDAY OVERTIME"),_xlfn.XLOOKUP(TblRecords[[#This Row],[Full Date]],TblEvent[Full Date],TblEvent[Hour]),0)</f>
        <v>0</v>
      </c>
      <c r="G49" s="5">
        <f>IF(OR(TblRecords[[#This Row],[Notes]]="OVERTIME",TblRecords[[#This Row],[Notes]]="HOLIDAY OVERTIME"),_xlfn.XLOOKUP(TblRecords[[#This Row],[Full Date]],TblEvent[Full Date],TblEvent[Break]),0)</f>
        <v>0</v>
      </c>
      <c r="H49" s="5">
        <f>_xlfn.XLOOKUP(TblRecords[[#This Row],[Shift]],Table6[Shift],Table6[Time],TIME(0,0,0))</f>
        <v>0.91666666666666663</v>
      </c>
      <c r="I49" s="5" cm="1">
        <f t="array" ref="I49">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49" s="6">
        <f>IF(AND(ISNUMBER(TblRecords[[#This Row],[Shift]]),TblRecords[[#This Row],[Shift]]&gt;0),IF(TblRecords[[#This Row],[Notes]]="HOLIDAY OVERTIME",0,_xlfn.XLOOKUP(TblRecords[[#This Row],[Payroll Year]],TblDailyPay[Year],TblDailyPay[Rate])),0)</f>
        <v>110005</v>
      </c>
      <c r="K49" s="6" cm="1">
        <f t="array" ref="K49">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49" s="6" cm="1">
        <f t="array" ref="L49">_xlfn.XLOOKUP(1,(DAY(TblRecords[[#This Row],[Full Date]])=Table8[Date])*(TblRecords[[#This Row],[Payroll Year]]=Table8[Year]),Table8[Rate],_xlfn.XLOOKUP(TblRecords[[#This Row],[Full Date]],Table8[Date],Table8[Rate],0))</f>
        <v>0</v>
      </c>
      <c r="M49" s="6" t="str" cm="1">
        <f t="array" ref="M49">_xlfn.XLOOKUP(1,(DAY(TblRecords[[#This Row],[Full Date]])=Table8[Date])*(TblRecords[[#This Row],[Payroll Year]]=Table8[Year]),Table8[Type],_xlfn.XLOOKUP(TblRecords[[#This Row],[Full Date]],Table8[Date],Table8[Type],"No Deduction"))</f>
        <v>No Deduction</v>
      </c>
      <c r="N49" t="str">
        <f>IF(ISNUMBER(TblRecords[[#This Row],[Shift]]),_xlfn.XLOOKUP(TblRecords[[#This Row],[Full Date]],TblEvent[Full Date],TblEvent[Type],"ATTENDED"),"OFF")</f>
        <v>ATTENDED</v>
      </c>
    </row>
    <row r="50" spans="1:14" x14ac:dyDescent="0.3">
      <c r="A50" s="4">
        <v>49</v>
      </c>
      <c r="B50" s="4">
        <v>2025</v>
      </c>
      <c r="C50" s="8" t="str" cm="1">
        <f t="array" ref="C50">TEXT(D50 - Table7[End Period Date], "MMMM")</f>
        <v>December</v>
      </c>
      <c r="D50" s="2">
        <v>46030</v>
      </c>
      <c r="E50" s="9">
        <v>3</v>
      </c>
      <c r="F50" s="5">
        <f>IF(OR(TblRecords[[#This Row],[Notes]]="OVERTIME",TblRecords[[#This Row],[Notes]]="HOLIDAY OVERTIME"),_xlfn.XLOOKUP(TblRecords[[#This Row],[Full Date]],TblEvent[Full Date],TblEvent[Hour]),0)</f>
        <v>0</v>
      </c>
      <c r="G50" s="5">
        <f>IF(OR(TblRecords[[#This Row],[Notes]]="OVERTIME",TblRecords[[#This Row],[Notes]]="HOLIDAY OVERTIME"),_xlfn.XLOOKUP(TblRecords[[#This Row],[Full Date]],TblEvent[Full Date],TblEvent[Break]),0)</f>
        <v>0</v>
      </c>
      <c r="H50" s="5">
        <f>_xlfn.XLOOKUP(TblRecords[[#This Row],[Shift]],Table6[Shift],Table6[Time],TIME(0,0,0))</f>
        <v>0.91666666666666663</v>
      </c>
      <c r="I50" s="5" cm="1">
        <f t="array" ref="I50">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50" s="6">
        <f>IF(AND(ISNUMBER(TblRecords[[#This Row],[Shift]]),TblRecords[[#This Row],[Shift]]&gt;0),IF(TblRecords[[#This Row],[Notes]]="HOLIDAY OVERTIME",0,_xlfn.XLOOKUP(TblRecords[[#This Row],[Payroll Year]],TblDailyPay[Year],TblDailyPay[Rate])),0)</f>
        <v>110005</v>
      </c>
      <c r="K50" s="6" cm="1">
        <f t="array" ref="K50">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50" s="6" cm="1">
        <f t="array" ref="L50">_xlfn.XLOOKUP(1,(DAY(TblRecords[[#This Row],[Full Date]])=Table8[Date])*(TblRecords[[#This Row],[Payroll Year]]=Table8[Year]),Table8[Rate],_xlfn.XLOOKUP(TblRecords[[#This Row],[Full Date]],Table8[Date],Table8[Rate],0))</f>
        <v>0</v>
      </c>
      <c r="M50" s="6" t="str" cm="1">
        <f t="array" ref="M50">_xlfn.XLOOKUP(1,(DAY(TblRecords[[#This Row],[Full Date]])=Table8[Date])*(TblRecords[[#This Row],[Payroll Year]]=Table8[Year]),Table8[Type],_xlfn.XLOOKUP(TblRecords[[#This Row],[Full Date]],Table8[Date],Table8[Type],"No Deduction"))</f>
        <v>No Deduction</v>
      </c>
      <c r="N50" t="str">
        <f>IF(ISNUMBER(TblRecords[[#This Row],[Shift]]),_xlfn.XLOOKUP(TblRecords[[#This Row],[Full Date]],TblEvent[Full Date],TblEvent[Type],"ATTENDED"),"OFF")</f>
        <v>ATTENDED</v>
      </c>
    </row>
    <row r="51" spans="1:14" x14ac:dyDescent="0.3">
      <c r="A51" s="4">
        <v>50</v>
      </c>
      <c r="B51" s="4">
        <v>2025</v>
      </c>
      <c r="C51" s="8" t="str" cm="1">
        <f t="array" ref="C51">TEXT(D51 - Table7[End Period Date], "MMMM")</f>
        <v>December</v>
      </c>
      <c r="D51" s="2">
        <v>46031</v>
      </c>
      <c r="E51" s="9" t="s">
        <v>6</v>
      </c>
      <c r="F51" s="5">
        <f>IF(OR(TblRecords[[#This Row],[Notes]]="OVERTIME",TblRecords[[#This Row],[Notes]]="HOLIDAY OVERTIME"),_xlfn.XLOOKUP(TblRecords[[#This Row],[Full Date]],TblEvent[Full Date],TblEvent[Hour]),0)</f>
        <v>0</v>
      </c>
      <c r="G51" s="5">
        <f>IF(OR(TblRecords[[#This Row],[Notes]]="OVERTIME",TblRecords[[#This Row],[Notes]]="HOLIDAY OVERTIME"),_xlfn.XLOOKUP(TblRecords[[#This Row],[Full Date]],TblEvent[Full Date],TblEvent[Break]),0)</f>
        <v>0</v>
      </c>
      <c r="H51" s="5">
        <f>_xlfn.XLOOKUP(TblRecords[[#This Row],[Shift]],Table6[Shift],Table6[Time],TIME(0,0,0))</f>
        <v>0</v>
      </c>
      <c r="I51" s="5" cm="1">
        <f t="array" ref="I51">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51" s="6">
        <f>IF(AND(ISNUMBER(TblRecords[[#This Row],[Shift]]),TblRecords[[#This Row],[Shift]]&gt;0),IF(TblRecords[[#This Row],[Notes]]="HOLIDAY OVERTIME",0,_xlfn.XLOOKUP(TblRecords[[#This Row],[Payroll Year]],TblDailyPay[Year],TblDailyPay[Rate])),0)</f>
        <v>0</v>
      </c>
      <c r="K51" s="6" cm="1">
        <f t="array" ref="K51">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51" s="6" cm="1">
        <f t="array" ref="L51">_xlfn.XLOOKUP(1,(DAY(TblRecords[[#This Row],[Full Date]])=Table8[Date])*(TblRecords[[#This Row],[Payroll Year]]=Table8[Year]),Table8[Rate],_xlfn.XLOOKUP(TblRecords[[#This Row],[Full Date]],Table8[Date],Table8[Rate],0))</f>
        <v>0</v>
      </c>
      <c r="M51" s="6" t="str" cm="1">
        <f t="array" ref="M51">_xlfn.XLOOKUP(1,(DAY(TblRecords[[#This Row],[Full Date]])=Table8[Date])*(TblRecords[[#This Row],[Payroll Year]]=Table8[Year]),Table8[Type],_xlfn.XLOOKUP(TblRecords[[#This Row],[Full Date]],Table8[Date],Table8[Type],"No Deduction"))</f>
        <v>No Deduction</v>
      </c>
      <c r="N51" t="str">
        <f>IF(ISNUMBER(TblRecords[[#This Row],[Shift]]),_xlfn.XLOOKUP(TblRecords[[#This Row],[Full Date]],TblEvent[Full Date],TblEvent[Type],"ATTENDED"),"OFF")</f>
        <v>OFF</v>
      </c>
    </row>
    <row r="52" spans="1:14" x14ac:dyDescent="0.3">
      <c r="A52" s="4">
        <v>51</v>
      </c>
      <c r="B52" s="4">
        <v>2025</v>
      </c>
      <c r="C52" s="8" t="str" cm="1">
        <f t="array" ref="C52">TEXT(D52 - Table7[End Period Date], "MMMM")</f>
        <v>December</v>
      </c>
      <c r="D52" s="2">
        <v>46032</v>
      </c>
      <c r="E52" s="9" t="s">
        <v>6</v>
      </c>
      <c r="F52" s="5">
        <f>IF(OR(TblRecords[[#This Row],[Notes]]="OVERTIME",TblRecords[[#This Row],[Notes]]="HOLIDAY OVERTIME"),_xlfn.XLOOKUP(TblRecords[[#This Row],[Full Date]],TblEvent[Full Date],TblEvent[Hour]),0)</f>
        <v>0</v>
      </c>
      <c r="G52" s="5">
        <f>IF(OR(TblRecords[[#This Row],[Notes]]="OVERTIME",TblRecords[[#This Row],[Notes]]="HOLIDAY OVERTIME"),_xlfn.XLOOKUP(TblRecords[[#This Row],[Full Date]],TblEvent[Full Date],TblEvent[Break]),0)</f>
        <v>0</v>
      </c>
      <c r="H52" s="5">
        <f>_xlfn.XLOOKUP(TblRecords[[#This Row],[Shift]],Table6[Shift],Table6[Time],TIME(0,0,0))</f>
        <v>0</v>
      </c>
      <c r="I52" s="5" cm="1">
        <f t="array" ref="I52">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52" s="6">
        <f>IF(AND(ISNUMBER(TblRecords[[#This Row],[Shift]]),TblRecords[[#This Row],[Shift]]&gt;0),IF(TblRecords[[#This Row],[Notes]]="HOLIDAY OVERTIME",0,_xlfn.XLOOKUP(TblRecords[[#This Row],[Payroll Year]],TblDailyPay[Year],TblDailyPay[Rate])),0)</f>
        <v>0</v>
      </c>
      <c r="K52" s="6" cm="1">
        <f t="array" ref="K52">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52" s="6" cm="1">
        <f t="array" ref="L52">_xlfn.XLOOKUP(1,(DAY(TblRecords[[#This Row],[Full Date]])=Table8[Date])*(TblRecords[[#This Row],[Payroll Year]]=Table8[Year]),Table8[Rate],_xlfn.XLOOKUP(TblRecords[[#This Row],[Full Date]],Table8[Date],Table8[Rate],0))</f>
        <v>0</v>
      </c>
      <c r="M52" s="6" t="str" cm="1">
        <f t="array" ref="M52">_xlfn.XLOOKUP(1,(DAY(TblRecords[[#This Row],[Full Date]])=Table8[Date])*(TblRecords[[#This Row],[Payroll Year]]=Table8[Year]),Table8[Type],_xlfn.XLOOKUP(TblRecords[[#This Row],[Full Date]],Table8[Date],Table8[Type],"No Deduction"))</f>
        <v>No Deduction</v>
      </c>
      <c r="N52" t="str">
        <f>IF(ISNUMBER(TblRecords[[#This Row],[Shift]]),_xlfn.XLOOKUP(TblRecords[[#This Row],[Full Date]],TblEvent[Full Date],TblEvent[Type],"ATTENDED"),"OFF")</f>
        <v>OFF</v>
      </c>
    </row>
    <row r="53" spans="1:14" x14ac:dyDescent="0.3">
      <c r="A53" s="4">
        <v>52</v>
      </c>
      <c r="B53" s="4">
        <v>2025</v>
      </c>
      <c r="C53" s="8" t="str" cm="1">
        <f t="array" ref="C53">TEXT(D53 - Table7[End Period Date], "MMMM")</f>
        <v>December</v>
      </c>
      <c r="D53" s="2">
        <v>46033</v>
      </c>
      <c r="E53" s="9">
        <v>2</v>
      </c>
      <c r="F53" s="5">
        <f>IF(OR(TblRecords[[#This Row],[Notes]]="OVERTIME",TblRecords[[#This Row],[Notes]]="HOLIDAY OVERTIME"),_xlfn.XLOOKUP(TblRecords[[#This Row],[Full Date]],TblEvent[Full Date],TblEvent[Hour]),0)</f>
        <v>0</v>
      </c>
      <c r="G53" s="5">
        <f>IF(OR(TblRecords[[#This Row],[Notes]]="OVERTIME",TblRecords[[#This Row],[Notes]]="HOLIDAY OVERTIME"),_xlfn.XLOOKUP(TblRecords[[#This Row],[Full Date]],TblEvent[Full Date],TblEvent[Break]),0)</f>
        <v>0</v>
      </c>
      <c r="H53" s="5">
        <f>_xlfn.XLOOKUP(TblRecords[[#This Row],[Shift]],Table6[Shift],Table6[Time],TIME(0,0,0))</f>
        <v>0.58333333333333337</v>
      </c>
      <c r="I53" s="5" cm="1">
        <f t="array" ref="I53">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53" s="6">
        <f>IF(AND(ISNUMBER(TblRecords[[#This Row],[Shift]]),TblRecords[[#This Row],[Shift]]&gt;0),IF(TblRecords[[#This Row],[Notes]]="HOLIDAY OVERTIME",0,_xlfn.XLOOKUP(TblRecords[[#This Row],[Payroll Year]],TblDailyPay[Year],TblDailyPay[Rate])),0)</f>
        <v>110005</v>
      </c>
      <c r="K53" s="6" cm="1">
        <f t="array" ref="K53">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53" s="6" cm="1">
        <f t="array" ref="L53">_xlfn.XLOOKUP(1,(DAY(TblRecords[[#This Row],[Full Date]])=Table8[Date])*(TblRecords[[#This Row],[Payroll Year]]=Table8[Year]),Table8[Rate],_xlfn.XLOOKUP(TblRecords[[#This Row],[Full Date]],Table8[Date],Table8[Rate],0))</f>
        <v>0</v>
      </c>
      <c r="M53" s="6" t="str" cm="1">
        <f t="array" ref="M53">_xlfn.XLOOKUP(1,(DAY(TblRecords[[#This Row],[Full Date]])=Table8[Date])*(TblRecords[[#This Row],[Payroll Year]]=Table8[Year]),Table8[Type],_xlfn.XLOOKUP(TblRecords[[#This Row],[Full Date]],Table8[Date],Table8[Type],"No Deduction"))</f>
        <v>No Deduction</v>
      </c>
      <c r="N53" t="str">
        <f>IF(ISNUMBER(TblRecords[[#This Row],[Shift]]),_xlfn.XLOOKUP(TblRecords[[#This Row],[Full Date]],TblEvent[Full Date],TblEvent[Type],"ATTENDED"),"OFF")</f>
        <v>ATTENDED</v>
      </c>
    </row>
    <row r="54" spans="1:14" x14ac:dyDescent="0.3">
      <c r="A54" s="4">
        <v>53</v>
      </c>
      <c r="B54" s="4">
        <v>2025</v>
      </c>
      <c r="C54" s="8" t="str" cm="1">
        <f t="array" ref="C54">TEXT(D54 - Table7[End Period Date], "MMMM")</f>
        <v>December</v>
      </c>
      <c r="D54" s="2">
        <v>46034</v>
      </c>
      <c r="E54" s="9">
        <v>2</v>
      </c>
      <c r="F54" s="5">
        <f>IF(OR(TblRecords[[#This Row],[Notes]]="OVERTIME",TblRecords[[#This Row],[Notes]]="HOLIDAY OVERTIME"),_xlfn.XLOOKUP(TblRecords[[#This Row],[Full Date]],TblEvent[Full Date],TblEvent[Hour]),0)</f>
        <v>0</v>
      </c>
      <c r="G54" s="5">
        <f>IF(OR(TblRecords[[#This Row],[Notes]]="OVERTIME",TblRecords[[#This Row],[Notes]]="HOLIDAY OVERTIME"),_xlfn.XLOOKUP(TblRecords[[#This Row],[Full Date]],TblEvent[Full Date],TblEvent[Break]),0)</f>
        <v>0</v>
      </c>
      <c r="H54" s="5">
        <f>_xlfn.XLOOKUP(TblRecords[[#This Row],[Shift]],Table6[Shift],Table6[Time],TIME(0,0,0))</f>
        <v>0.58333333333333337</v>
      </c>
      <c r="I54" s="5" cm="1">
        <f t="array" ref="I54">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54" s="6">
        <f>IF(AND(ISNUMBER(TblRecords[[#This Row],[Shift]]),TblRecords[[#This Row],[Shift]]&gt;0),IF(TblRecords[[#This Row],[Notes]]="HOLIDAY OVERTIME",0,_xlfn.XLOOKUP(TblRecords[[#This Row],[Payroll Year]],TblDailyPay[Year],TblDailyPay[Rate])),0)</f>
        <v>110005</v>
      </c>
      <c r="K54" s="6" cm="1">
        <f t="array" ref="K54">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54" s="6" cm="1">
        <f t="array" ref="L54">_xlfn.XLOOKUP(1,(DAY(TblRecords[[#This Row],[Full Date]])=Table8[Date])*(TblRecords[[#This Row],[Payroll Year]]=Table8[Year]),Table8[Rate],_xlfn.XLOOKUP(TblRecords[[#This Row],[Full Date]],Table8[Date],Table8[Rate],0))</f>
        <v>0</v>
      </c>
      <c r="M54" s="6" t="str" cm="1">
        <f t="array" ref="M54">_xlfn.XLOOKUP(1,(DAY(TblRecords[[#This Row],[Full Date]])=Table8[Date])*(TblRecords[[#This Row],[Payroll Year]]=Table8[Year]),Table8[Type],_xlfn.XLOOKUP(TblRecords[[#This Row],[Full Date]],Table8[Date],Table8[Type],"No Deduction"))</f>
        <v>No Deduction</v>
      </c>
      <c r="N54" t="str">
        <f>IF(ISNUMBER(TblRecords[[#This Row],[Shift]]),_xlfn.XLOOKUP(TblRecords[[#This Row],[Full Date]],TblEvent[Full Date],TblEvent[Type],"ATTENDED"),"OFF")</f>
        <v>ATTENDED</v>
      </c>
    </row>
    <row r="55" spans="1:14" x14ac:dyDescent="0.3">
      <c r="A55" s="4">
        <v>54</v>
      </c>
      <c r="B55" s="4">
        <v>2025</v>
      </c>
      <c r="C55" s="8" t="str" cm="1">
        <f t="array" ref="C55">TEXT(D55 - Table7[End Period Date], "MMMM")</f>
        <v>December</v>
      </c>
      <c r="D55" s="2">
        <v>46035</v>
      </c>
      <c r="E55" s="9">
        <v>2</v>
      </c>
      <c r="F55" s="5">
        <f>IF(OR(TblRecords[[#This Row],[Notes]]="OVERTIME",TblRecords[[#This Row],[Notes]]="HOLIDAY OVERTIME"),_xlfn.XLOOKUP(TblRecords[[#This Row],[Full Date]],TblEvent[Full Date],TblEvent[Hour]),0)</f>
        <v>0</v>
      </c>
      <c r="G55" s="5">
        <f>IF(OR(TblRecords[[#This Row],[Notes]]="OVERTIME",TblRecords[[#This Row],[Notes]]="HOLIDAY OVERTIME"),_xlfn.XLOOKUP(TblRecords[[#This Row],[Full Date]],TblEvent[Full Date],TblEvent[Break]),0)</f>
        <v>0</v>
      </c>
      <c r="H55" s="5">
        <f>_xlfn.XLOOKUP(TblRecords[[#This Row],[Shift]],Table6[Shift],Table6[Time],TIME(0,0,0))</f>
        <v>0.58333333333333337</v>
      </c>
      <c r="I55" s="5" cm="1">
        <f t="array" ref="I55">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55" s="6">
        <f>IF(AND(ISNUMBER(TblRecords[[#This Row],[Shift]]),TblRecords[[#This Row],[Shift]]&gt;0),IF(TblRecords[[#This Row],[Notes]]="HOLIDAY OVERTIME",0,_xlfn.XLOOKUP(TblRecords[[#This Row],[Payroll Year]],TblDailyPay[Year],TblDailyPay[Rate])),0)</f>
        <v>110005</v>
      </c>
      <c r="K55" s="6" cm="1">
        <f t="array" ref="K55">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55" s="6" cm="1">
        <f t="array" ref="L55">_xlfn.XLOOKUP(1,(DAY(TblRecords[[#This Row],[Full Date]])=Table8[Date])*(TblRecords[[#This Row],[Payroll Year]]=Table8[Year]),Table8[Rate],_xlfn.XLOOKUP(TblRecords[[#This Row],[Full Date]],Table8[Date],Table8[Rate],0))</f>
        <v>0</v>
      </c>
      <c r="M55" s="6" t="str" cm="1">
        <f t="array" ref="M55">_xlfn.XLOOKUP(1,(DAY(TblRecords[[#This Row],[Full Date]])=Table8[Date])*(TblRecords[[#This Row],[Payroll Year]]=Table8[Year]),Table8[Type],_xlfn.XLOOKUP(TblRecords[[#This Row],[Full Date]],Table8[Date],Table8[Type],"No Deduction"))</f>
        <v>No Deduction</v>
      </c>
      <c r="N55" t="str">
        <f>IF(ISNUMBER(TblRecords[[#This Row],[Shift]]),_xlfn.XLOOKUP(TblRecords[[#This Row],[Full Date]],TblEvent[Full Date],TblEvent[Type],"ATTENDED"),"OFF")</f>
        <v>ATTENDED</v>
      </c>
    </row>
    <row r="56" spans="1:14" x14ac:dyDescent="0.3">
      <c r="A56" s="4">
        <v>55</v>
      </c>
      <c r="B56" s="4">
        <v>2025</v>
      </c>
      <c r="C56" s="8" t="str" cm="1">
        <f t="array" ref="C56">TEXT(D56 - Table7[End Period Date], "MMMM")</f>
        <v>December</v>
      </c>
      <c r="D56" s="2">
        <v>46036</v>
      </c>
      <c r="E56" s="9">
        <v>2</v>
      </c>
      <c r="F56" s="5">
        <f>IF(OR(TblRecords[[#This Row],[Notes]]="OVERTIME",TblRecords[[#This Row],[Notes]]="HOLIDAY OVERTIME"),_xlfn.XLOOKUP(TblRecords[[#This Row],[Full Date]],TblEvent[Full Date],TblEvent[Hour]),0)</f>
        <v>0</v>
      </c>
      <c r="G56" s="5">
        <f>IF(OR(TblRecords[[#This Row],[Notes]]="OVERTIME",TblRecords[[#This Row],[Notes]]="HOLIDAY OVERTIME"),_xlfn.XLOOKUP(TblRecords[[#This Row],[Full Date]],TblEvent[Full Date],TblEvent[Break]),0)</f>
        <v>0</v>
      </c>
      <c r="H56" s="5">
        <f>_xlfn.XLOOKUP(TblRecords[[#This Row],[Shift]],Table6[Shift],Table6[Time],TIME(0,0,0))</f>
        <v>0.58333333333333337</v>
      </c>
      <c r="I56" s="5" cm="1">
        <f t="array" ref="I56">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56" s="6">
        <f>IF(AND(ISNUMBER(TblRecords[[#This Row],[Shift]]),TblRecords[[#This Row],[Shift]]&gt;0),IF(TblRecords[[#This Row],[Notes]]="HOLIDAY OVERTIME",0,_xlfn.XLOOKUP(TblRecords[[#This Row],[Payroll Year]],TblDailyPay[Year],TblDailyPay[Rate])),0)</f>
        <v>110005</v>
      </c>
      <c r="K56" s="6" cm="1">
        <f t="array" ref="K56">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56" s="6" cm="1">
        <f t="array" ref="L56">_xlfn.XLOOKUP(1,(DAY(TblRecords[[#This Row],[Full Date]])=Table8[Date])*(TblRecords[[#This Row],[Payroll Year]]=Table8[Year]),Table8[Rate],_xlfn.XLOOKUP(TblRecords[[#This Row],[Full Date]],Table8[Date],Table8[Rate],0))</f>
        <v>0</v>
      </c>
      <c r="M56" s="6" t="str" cm="1">
        <f t="array" ref="M56">_xlfn.XLOOKUP(1,(DAY(TblRecords[[#This Row],[Full Date]])=Table8[Date])*(TblRecords[[#This Row],[Payroll Year]]=Table8[Year]),Table8[Type],_xlfn.XLOOKUP(TblRecords[[#This Row],[Full Date]],Table8[Date],Table8[Type],"No Deduction"))</f>
        <v>No Deduction</v>
      </c>
      <c r="N56" t="str">
        <f>IF(ISNUMBER(TblRecords[[#This Row],[Shift]]),_xlfn.XLOOKUP(TblRecords[[#This Row],[Full Date]],TblEvent[Full Date],TblEvent[Type],"ATTENDED"),"OFF")</f>
        <v>ATTENDED</v>
      </c>
    </row>
    <row r="57" spans="1:14" x14ac:dyDescent="0.3">
      <c r="A57" s="4">
        <v>56</v>
      </c>
      <c r="B57" s="4">
        <v>2025</v>
      </c>
      <c r="C57" s="8" t="str" cm="1">
        <f t="array" ref="C57">TEXT(D57 - Table7[End Period Date], "MMMM")</f>
        <v>December</v>
      </c>
      <c r="D57" s="2">
        <v>46037</v>
      </c>
      <c r="E57" s="9">
        <v>2</v>
      </c>
      <c r="F57" s="5">
        <f>IF(OR(TblRecords[[#This Row],[Notes]]="OVERTIME",TblRecords[[#This Row],[Notes]]="HOLIDAY OVERTIME"),_xlfn.XLOOKUP(TblRecords[[#This Row],[Full Date]],TblEvent[Full Date],TblEvent[Hour]),0)</f>
        <v>0</v>
      </c>
      <c r="G57" s="5">
        <f>IF(OR(TblRecords[[#This Row],[Notes]]="OVERTIME",TblRecords[[#This Row],[Notes]]="HOLIDAY OVERTIME"),_xlfn.XLOOKUP(TblRecords[[#This Row],[Full Date]],TblEvent[Full Date],TblEvent[Break]),0)</f>
        <v>0</v>
      </c>
      <c r="H57" s="5">
        <f>_xlfn.XLOOKUP(TblRecords[[#This Row],[Shift]],Table6[Shift],Table6[Time],TIME(0,0,0))</f>
        <v>0.58333333333333337</v>
      </c>
      <c r="I57" s="5" cm="1">
        <f t="array" ref="I57">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57" s="6">
        <f>IF(AND(ISNUMBER(TblRecords[[#This Row],[Shift]]),TblRecords[[#This Row],[Shift]]&gt;0),IF(TblRecords[[#This Row],[Notes]]="HOLIDAY OVERTIME",0,_xlfn.XLOOKUP(TblRecords[[#This Row],[Payroll Year]],TblDailyPay[Year],TblDailyPay[Rate])),0)</f>
        <v>110005</v>
      </c>
      <c r="K57" s="6" cm="1">
        <f t="array" ref="K57">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57" s="6" cm="1">
        <f t="array" ref="L57">_xlfn.XLOOKUP(1,(DAY(TblRecords[[#This Row],[Full Date]])=Table8[Date])*(TblRecords[[#This Row],[Payroll Year]]=Table8[Year]),Table8[Rate],_xlfn.XLOOKUP(TblRecords[[#This Row],[Full Date]],Table8[Date],Table8[Rate],0))</f>
        <v>0</v>
      </c>
      <c r="M57" s="6" t="str" cm="1">
        <f t="array" ref="M57">_xlfn.XLOOKUP(1,(DAY(TblRecords[[#This Row],[Full Date]])=Table8[Date])*(TblRecords[[#This Row],[Payroll Year]]=Table8[Year]),Table8[Type],_xlfn.XLOOKUP(TblRecords[[#This Row],[Full Date]],Table8[Date],Table8[Type],"No Deduction"))</f>
        <v>No Deduction</v>
      </c>
      <c r="N57" t="str">
        <f>IF(ISNUMBER(TblRecords[[#This Row],[Shift]]),_xlfn.XLOOKUP(TblRecords[[#This Row],[Full Date]],TblEvent[Full Date],TblEvent[Type],"ATTENDED"),"OFF")</f>
        <v>ATTENDED</v>
      </c>
    </row>
    <row r="58" spans="1:14" x14ac:dyDescent="0.3">
      <c r="A58" s="4">
        <v>57</v>
      </c>
      <c r="B58" s="4">
        <v>2025</v>
      </c>
      <c r="C58" s="8" t="str" cm="1">
        <f t="array" ref="C58">TEXT(D58 - Table7[End Period Date], "MMMM")</f>
        <v>December</v>
      </c>
      <c r="D58" s="2">
        <v>46038</v>
      </c>
      <c r="E58" s="9" t="s">
        <v>6</v>
      </c>
      <c r="F58" s="5">
        <f>IF(OR(TblRecords[[#This Row],[Notes]]="OVERTIME",TblRecords[[#This Row],[Notes]]="HOLIDAY OVERTIME"),_xlfn.XLOOKUP(TblRecords[[#This Row],[Full Date]],TblEvent[Full Date],TblEvent[Hour]),0)</f>
        <v>0</v>
      </c>
      <c r="G58" s="5">
        <f>IF(OR(TblRecords[[#This Row],[Notes]]="OVERTIME",TblRecords[[#This Row],[Notes]]="HOLIDAY OVERTIME"),_xlfn.XLOOKUP(TblRecords[[#This Row],[Full Date]],TblEvent[Full Date],TblEvent[Break]),0)</f>
        <v>0</v>
      </c>
      <c r="H58" s="5">
        <f>_xlfn.XLOOKUP(TblRecords[[#This Row],[Shift]],Table6[Shift],Table6[Time],TIME(0,0,0))</f>
        <v>0</v>
      </c>
      <c r="I58" s="5" cm="1">
        <f t="array" ref="I58">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58" s="6">
        <f>IF(AND(ISNUMBER(TblRecords[[#This Row],[Shift]]),TblRecords[[#This Row],[Shift]]&gt;0),IF(TblRecords[[#This Row],[Notes]]="HOLIDAY OVERTIME",0,_xlfn.XLOOKUP(TblRecords[[#This Row],[Payroll Year]],TblDailyPay[Year],TblDailyPay[Rate])),0)</f>
        <v>0</v>
      </c>
      <c r="K58" s="6" cm="1">
        <f t="array" ref="K58">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58" s="6" cm="1">
        <f t="array" ref="L58">_xlfn.XLOOKUP(1,(DAY(TblRecords[[#This Row],[Full Date]])=Table8[Date])*(TblRecords[[#This Row],[Payroll Year]]=Table8[Year]),Table8[Rate],_xlfn.XLOOKUP(TblRecords[[#This Row],[Full Date]],Table8[Date],Table8[Rate],0))</f>
        <v>0</v>
      </c>
      <c r="M58" s="6" t="str" cm="1">
        <f t="array" ref="M58">_xlfn.XLOOKUP(1,(DAY(TblRecords[[#This Row],[Full Date]])=Table8[Date])*(TblRecords[[#This Row],[Payroll Year]]=Table8[Year]),Table8[Type],_xlfn.XLOOKUP(TblRecords[[#This Row],[Full Date]],Table8[Date],Table8[Type],"No Deduction"))</f>
        <v>No Deduction</v>
      </c>
      <c r="N58" t="str">
        <f>IF(ISNUMBER(TblRecords[[#This Row],[Shift]]),_xlfn.XLOOKUP(TblRecords[[#This Row],[Full Date]],TblEvent[Full Date],TblEvent[Type],"ATTENDED"),"OFF")</f>
        <v>OFF</v>
      </c>
    </row>
    <row r="59" spans="1:14" x14ac:dyDescent="0.3">
      <c r="A59" s="4">
        <v>58</v>
      </c>
      <c r="B59" s="4">
        <v>2025</v>
      </c>
      <c r="C59" s="8" t="str" cm="1">
        <f t="array" ref="C59">TEXT(D59 - Table7[End Period Date], "MMMM")</f>
        <v>December</v>
      </c>
      <c r="D59" s="2">
        <v>46039</v>
      </c>
      <c r="E59" s="9" t="s">
        <v>6</v>
      </c>
      <c r="F59" s="5">
        <f>IF(OR(TblRecords[[#This Row],[Notes]]="OVERTIME",TblRecords[[#This Row],[Notes]]="HOLIDAY OVERTIME"),_xlfn.XLOOKUP(TblRecords[[#This Row],[Full Date]],TblEvent[Full Date],TblEvent[Hour]),0)</f>
        <v>0</v>
      </c>
      <c r="G59" s="5">
        <f>IF(OR(TblRecords[[#This Row],[Notes]]="OVERTIME",TblRecords[[#This Row],[Notes]]="HOLIDAY OVERTIME"),_xlfn.XLOOKUP(TblRecords[[#This Row],[Full Date]],TblEvent[Full Date],TblEvent[Break]),0)</f>
        <v>0</v>
      </c>
      <c r="H59" s="5">
        <f>_xlfn.XLOOKUP(TblRecords[[#This Row],[Shift]],Table6[Shift],Table6[Time],TIME(0,0,0))</f>
        <v>0</v>
      </c>
      <c r="I59" s="5" cm="1">
        <f t="array" ref="I59">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59" s="6">
        <f>IF(AND(ISNUMBER(TblRecords[[#This Row],[Shift]]),TblRecords[[#This Row],[Shift]]&gt;0),IF(TblRecords[[#This Row],[Notes]]="HOLIDAY OVERTIME",0,_xlfn.XLOOKUP(TblRecords[[#This Row],[Payroll Year]],TblDailyPay[Year],TblDailyPay[Rate])),0)</f>
        <v>0</v>
      </c>
      <c r="K59" s="6" cm="1">
        <f t="array" ref="K59">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59" s="6" cm="1">
        <f t="array" ref="L59">_xlfn.XLOOKUP(1,(DAY(TblRecords[[#This Row],[Full Date]])=Table8[Date])*(TblRecords[[#This Row],[Payroll Year]]=Table8[Year]),Table8[Rate],_xlfn.XLOOKUP(TblRecords[[#This Row],[Full Date]],Table8[Date],Table8[Rate],0))</f>
        <v>0</v>
      </c>
      <c r="M59" s="6" t="str" cm="1">
        <f t="array" ref="M59">_xlfn.XLOOKUP(1,(DAY(TblRecords[[#This Row],[Full Date]])=Table8[Date])*(TblRecords[[#This Row],[Payroll Year]]=Table8[Year]),Table8[Type],_xlfn.XLOOKUP(TblRecords[[#This Row],[Full Date]],Table8[Date],Table8[Type],"No Deduction"))</f>
        <v>No Deduction</v>
      </c>
      <c r="N59" t="str">
        <f>IF(ISNUMBER(TblRecords[[#This Row],[Shift]]),_xlfn.XLOOKUP(TblRecords[[#This Row],[Full Date]],TblEvent[Full Date],TblEvent[Type],"ATTENDED"),"OFF")</f>
        <v>OFF</v>
      </c>
    </row>
    <row r="60" spans="1:14" x14ac:dyDescent="0.3">
      <c r="A60" s="4">
        <v>59</v>
      </c>
      <c r="B60" s="4">
        <v>2025</v>
      </c>
      <c r="C60" s="8" t="str" cm="1">
        <f t="array" ref="C60">TEXT(D60 - Table7[End Period Date], "MMMM")</f>
        <v>December</v>
      </c>
      <c r="D60" s="2">
        <v>46040</v>
      </c>
      <c r="E60" s="9" t="s">
        <v>6</v>
      </c>
      <c r="F60" s="5">
        <f>IF(OR(TblRecords[[#This Row],[Notes]]="OVERTIME",TblRecords[[#This Row],[Notes]]="HOLIDAY OVERTIME"),_xlfn.XLOOKUP(TblRecords[[#This Row],[Full Date]],TblEvent[Full Date],TblEvent[Hour]),0)</f>
        <v>0</v>
      </c>
      <c r="G60" s="5">
        <f>IF(OR(TblRecords[[#This Row],[Notes]]="OVERTIME",TblRecords[[#This Row],[Notes]]="HOLIDAY OVERTIME"),_xlfn.XLOOKUP(TblRecords[[#This Row],[Full Date]],TblEvent[Full Date],TblEvent[Break]),0)</f>
        <v>0</v>
      </c>
      <c r="H60" s="5">
        <f>_xlfn.XLOOKUP(TblRecords[[#This Row],[Shift]],Table6[Shift],Table6[Time],TIME(0,0,0))</f>
        <v>0</v>
      </c>
      <c r="I60" s="5" cm="1">
        <f t="array" ref="I60">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60" s="6">
        <f>IF(AND(ISNUMBER(TblRecords[[#This Row],[Shift]]),TblRecords[[#This Row],[Shift]]&gt;0),IF(TblRecords[[#This Row],[Notes]]="HOLIDAY OVERTIME",0,_xlfn.XLOOKUP(TblRecords[[#This Row],[Payroll Year]],TblDailyPay[Year],TblDailyPay[Rate])),0)</f>
        <v>0</v>
      </c>
      <c r="K60" s="6" cm="1">
        <f t="array" ref="K60">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60" s="6" cm="1">
        <f t="array" ref="L60">_xlfn.XLOOKUP(1,(DAY(TblRecords[[#This Row],[Full Date]])=Table8[Date])*(TblRecords[[#This Row],[Payroll Year]]=Table8[Year]),Table8[Rate],_xlfn.XLOOKUP(TblRecords[[#This Row],[Full Date]],Table8[Date],Table8[Rate],0))</f>
        <v>0</v>
      </c>
      <c r="M60" s="6" t="str" cm="1">
        <f t="array" ref="M60">_xlfn.XLOOKUP(1,(DAY(TblRecords[[#This Row],[Full Date]])=Table8[Date])*(TblRecords[[#This Row],[Payroll Year]]=Table8[Year]),Table8[Type],_xlfn.XLOOKUP(TblRecords[[#This Row],[Full Date]],Table8[Date],Table8[Type],"No Deduction"))</f>
        <v>No Deduction</v>
      </c>
      <c r="N60" t="str">
        <f>IF(ISNUMBER(TblRecords[[#This Row],[Shift]]),_xlfn.XLOOKUP(TblRecords[[#This Row],[Full Date]],TblEvent[Full Date],TblEvent[Type],"ATTENDED"),"OFF")</f>
        <v>OFF</v>
      </c>
    </row>
    <row r="61" spans="1:14" x14ac:dyDescent="0.3">
      <c r="A61" s="4">
        <v>60</v>
      </c>
      <c r="B61" s="4">
        <v>2025</v>
      </c>
      <c r="C61" s="8" t="str" cm="1">
        <f t="array" ref="C61">TEXT(D61 - Table7[End Period Date], "MMMM")</f>
        <v>December</v>
      </c>
      <c r="D61" s="2">
        <v>46041</v>
      </c>
      <c r="E61" s="9" t="s">
        <v>6</v>
      </c>
      <c r="F61" s="5">
        <f>IF(OR(TblRecords[[#This Row],[Notes]]="OVERTIME",TblRecords[[#This Row],[Notes]]="HOLIDAY OVERTIME"),_xlfn.XLOOKUP(TblRecords[[#This Row],[Full Date]],TblEvent[Full Date],TblEvent[Hour]),0)</f>
        <v>0</v>
      </c>
      <c r="G61" s="5">
        <f>IF(OR(TblRecords[[#This Row],[Notes]]="OVERTIME",TblRecords[[#This Row],[Notes]]="HOLIDAY OVERTIME"),_xlfn.XLOOKUP(TblRecords[[#This Row],[Full Date]],TblEvent[Full Date],TblEvent[Break]),0)</f>
        <v>0</v>
      </c>
      <c r="H61" s="5">
        <f>_xlfn.XLOOKUP(TblRecords[[#This Row],[Shift]],Table6[Shift],Table6[Time],TIME(0,0,0))</f>
        <v>0</v>
      </c>
      <c r="I61" s="5" cm="1">
        <f t="array" ref="I61">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61" s="6">
        <f>IF(AND(ISNUMBER(TblRecords[[#This Row],[Shift]]),TblRecords[[#This Row],[Shift]]&gt;0),IF(TblRecords[[#This Row],[Notes]]="HOLIDAY OVERTIME",0,_xlfn.XLOOKUP(TblRecords[[#This Row],[Payroll Year]],TblDailyPay[Year],TblDailyPay[Rate])),0)</f>
        <v>0</v>
      </c>
      <c r="K61" s="6" cm="1">
        <f t="array" ref="K61">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61" s="6" cm="1">
        <f t="array" ref="L61">_xlfn.XLOOKUP(1,(DAY(TblRecords[[#This Row],[Full Date]])=Table8[Date])*(TblRecords[[#This Row],[Payroll Year]]=Table8[Year]),Table8[Rate],_xlfn.XLOOKUP(TblRecords[[#This Row],[Full Date]],Table8[Date],Table8[Rate],0))</f>
        <v>0</v>
      </c>
      <c r="M61" s="6" t="str" cm="1">
        <f t="array" ref="M61">_xlfn.XLOOKUP(1,(DAY(TblRecords[[#This Row],[Full Date]])=Table8[Date])*(TblRecords[[#This Row],[Payroll Year]]=Table8[Year]),Table8[Type],_xlfn.XLOOKUP(TblRecords[[#This Row],[Full Date]],Table8[Date],Table8[Type],"No Deduction"))</f>
        <v>No Deduction</v>
      </c>
      <c r="N61" t="str">
        <f>IF(ISNUMBER(TblRecords[[#This Row],[Shift]]),_xlfn.XLOOKUP(TblRecords[[#This Row],[Full Date]],TblEvent[Full Date],TblEvent[Type],"ATTENDED"),"OFF")</f>
        <v>OFF</v>
      </c>
    </row>
    <row r="62" spans="1:14" x14ac:dyDescent="0.3">
      <c r="A62" s="4">
        <v>61</v>
      </c>
      <c r="B62" s="4">
        <v>2025</v>
      </c>
      <c r="C62" s="8" t="str" cm="1">
        <f t="array" ref="C62">TEXT(D62 - Table7[End Period Date], "MMMM")</f>
        <v>December</v>
      </c>
      <c r="D62" s="2">
        <v>46042</v>
      </c>
      <c r="E62" s="9">
        <v>1</v>
      </c>
      <c r="F62" s="5">
        <f>IF(OR(TblRecords[[#This Row],[Notes]]="OVERTIME",TblRecords[[#This Row],[Notes]]="HOLIDAY OVERTIME"),_xlfn.XLOOKUP(TblRecords[[#This Row],[Full Date]],TblEvent[Full Date],TblEvent[Hour]),0)</f>
        <v>0</v>
      </c>
      <c r="G62" s="5">
        <f>IF(OR(TblRecords[[#This Row],[Notes]]="OVERTIME",TblRecords[[#This Row],[Notes]]="HOLIDAY OVERTIME"),_xlfn.XLOOKUP(TblRecords[[#This Row],[Full Date]],TblEvent[Full Date],TblEvent[Break]),0)</f>
        <v>0</v>
      </c>
      <c r="H62" s="5">
        <f>_xlfn.XLOOKUP(TblRecords[[#This Row],[Shift]],Table6[Shift],Table6[Time],TIME(0,0,0))</f>
        <v>0.25</v>
      </c>
      <c r="I62" s="5" cm="1">
        <f t="array" ref="I62">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62" s="6">
        <f>IF(AND(ISNUMBER(TblRecords[[#This Row],[Shift]]),TblRecords[[#This Row],[Shift]]&gt;0),IF(TblRecords[[#This Row],[Notes]]="HOLIDAY OVERTIME",0,_xlfn.XLOOKUP(TblRecords[[#This Row],[Payroll Year]],TblDailyPay[Year],TblDailyPay[Rate])),0)</f>
        <v>110005</v>
      </c>
      <c r="K62" s="6" cm="1">
        <f t="array" ref="K62">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62" s="6" cm="1">
        <f t="array" ref="L62">_xlfn.XLOOKUP(1,(DAY(TblRecords[[#This Row],[Full Date]])=Table8[Date])*(TblRecords[[#This Row],[Payroll Year]]=Table8[Year]),Table8[Rate],_xlfn.XLOOKUP(TblRecords[[#This Row],[Full Date]],Table8[Date],Table8[Rate],0))</f>
        <v>-110005</v>
      </c>
      <c r="M62" s="6" t="str" cm="1">
        <f t="array" ref="M62">_xlfn.XLOOKUP(1,(DAY(TblRecords[[#This Row],[Full Date]])=Table8[Date])*(TblRecords[[#This Row],[Payroll Year]]=Table8[Year]),Table8[Type],_xlfn.XLOOKUP(TblRecords[[#This Row],[Full Date]],Table8[Date],Table8[Type],"No Deduction"))</f>
        <v>BPJS On-Cycle 2025</v>
      </c>
      <c r="N62" t="str">
        <f>IF(ISNUMBER(TblRecords[[#This Row],[Shift]]),_xlfn.XLOOKUP(TblRecords[[#This Row],[Full Date]],TblEvent[Full Date],TblEvent[Type],"ATTENDED"),"OFF")</f>
        <v>ATTENDED</v>
      </c>
    </row>
    <row r="63" spans="1:14" x14ac:dyDescent="0.3">
      <c r="A63" s="4">
        <v>62</v>
      </c>
      <c r="B63" s="4">
        <v>2026</v>
      </c>
      <c r="C63" s="8" t="str" cm="1">
        <f t="array" ref="C63">TEXT(D63 - Table7[End Period Date], "MMMM")</f>
        <v>January</v>
      </c>
      <c r="D63" s="2">
        <v>46043</v>
      </c>
      <c r="E63" s="9">
        <v>0</v>
      </c>
      <c r="F63" s="5">
        <f>IF(OR(TblRecords[[#This Row],[Notes]]="OVERTIME",TblRecords[[#This Row],[Notes]]="HOLIDAY OVERTIME"),_xlfn.XLOOKUP(TblRecords[[#This Row],[Full Date]],TblEvent[Full Date],TblEvent[Hour]),0)</f>
        <v>0</v>
      </c>
      <c r="G63" s="5">
        <f>IF(OR(TblRecords[[#This Row],[Notes]]="OVERTIME",TblRecords[[#This Row],[Notes]]="HOLIDAY OVERTIME"),_xlfn.XLOOKUP(TblRecords[[#This Row],[Full Date]],TblEvent[Full Date],TblEvent[Break]),0)</f>
        <v>0</v>
      </c>
      <c r="H63" s="5">
        <f>_xlfn.XLOOKUP(TblRecords[[#This Row],[Shift]],Table6[Shift],Table6[Time],TIME(0,0,0))</f>
        <v>0</v>
      </c>
      <c r="I63" s="5" cm="1">
        <f t="array" ref="I63">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63" s="6">
        <f>IF(AND(ISNUMBER(TblRecords[[#This Row],[Shift]]),TblRecords[[#This Row],[Shift]]&gt;0),IF(TblRecords[[#This Row],[Notes]]="HOLIDAY OVERTIME",0,_xlfn.XLOOKUP(TblRecords[[#This Row],[Payroll Year]],TblDailyPay[Year],TblDailyPay[Rate])),0)</f>
        <v>0</v>
      </c>
      <c r="K63" s="6" cm="1">
        <f t="array" ref="K63">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63" s="6" cm="1">
        <f t="array" ref="L63">_xlfn.XLOOKUP(1,(DAY(TblRecords[[#This Row],[Full Date]])=Table8[Date])*(TblRecords[[#This Row],[Payroll Year]]=Table8[Year]),Table8[Rate],_xlfn.XLOOKUP(TblRecords[[#This Row],[Full Date]],Table8[Date],Table8[Rate],0))</f>
        <v>0</v>
      </c>
      <c r="M63" s="6" t="str" cm="1">
        <f t="array" ref="M63">_xlfn.XLOOKUP(1,(DAY(TblRecords[[#This Row],[Full Date]])=Table8[Date])*(TblRecords[[#This Row],[Payroll Year]]=Table8[Year]),Table8[Type],_xlfn.XLOOKUP(TblRecords[[#This Row],[Full Date]],Table8[Date],Table8[Type],"No Deduction"))</f>
        <v>No Deduction</v>
      </c>
      <c r="N63" t="str">
        <f>IF(ISNUMBER(TblRecords[[#This Row],[Shift]]),_xlfn.XLOOKUP(TblRecords[[#This Row],[Full Date]],TblEvent[Full Date],TblEvent[Type],"ATTENDED"),"OFF")</f>
        <v>SICK</v>
      </c>
    </row>
    <row r="64" spans="1:14" x14ac:dyDescent="0.3">
      <c r="A64" s="4">
        <v>63</v>
      </c>
      <c r="B64" s="4">
        <v>2026</v>
      </c>
      <c r="C64" s="8" t="str" cm="1">
        <f t="array" ref="C64">TEXT(D64 - Table7[End Period Date], "MMMM")</f>
        <v>January</v>
      </c>
      <c r="D64" s="2">
        <v>46044</v>
      </c>
      <c r="E64" s="9" t="s">
        <v>6</v>
      </c>
      <c r="F64" s="5">
        <f>IF(OR(TblRecords[[#This Row],[Notes]]="OVERTIME",TblRecords[[#This Row],[Notes]]="HOLIDAY OVERTIME"),_xlfn.XLOOKUP(TblRecords[[#This Row],[Full Date]],TblEvent[Full Date],TblEvent[Hour]),0)</f>
        <v>0</v>
      </c>
      <c r="G64" s="5">
        <f>IF(OR(TblRecords[[#This Row],[Notes]]="OVERTIME",TblRecords[[#This Row],[Notes]]="HOLIDAY OVERTIME"),_xlfn.XLOOKUP(TblRecords[[#This Row],[Full Date]],TblEvent[Full Date],TblEvent[Break]),0)</f>
        <v>0</v>
      </c>
      <c r="H64" s="5">
        <f>_xlfn.XLOOKUP(TblRecords[[#This Row],[Shift]],Table6[Shift],Table6[Time],TIME(0,0,0))</f>
        <v>0</v>
      </c>
      <c r="I64" s="5" cm="1">
        <f t="array" ref="I64">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64" s="6">
        <f>IF(AND(ISNUMBER(TblRecords[[#This Row],[Shift]]),TblRecords[[#This Row],[Shift]]&gt;0),IF(TblRecords[[#This Row],[Notes]]="HOLIDAY OVERTIME",0,_xlfn.XLOOKUP(TblRecords[[#This Row],[Payroll Year]],TblDailyPay[Year],TblDailyPay[Rate])),0)</f>
        <v>0</v>
      </c>
      <c r="K64" s="6" cm="1">
        <f t="array" ref="K64">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64" s="6" cm="1">
        <f t="array" ref="L64">_xlfn.XLOOKUP(1,(DAY(TblRecords[[#This Row],[Full Date]])=Table8[Date])*(TblRecords[[#This Row],[Payroll Year]]=Table8[Year]),Table8[Rate],_xlfn.XLOOKUP(TblRecords[[#This Row],[Full Date]],Table8[Date],Table8[Rate],0))</f>
        <v>0</v>
      </c>
      <c r="M64" s="6" t="str" cm="1">
        <f t="array" ref="M64">_xlfn.XLOOKUP(1,(DAY(TblRecords[[#This Row],[Full Date]])=Table8[Date])*(TblRecords[[#This Row],[Payroll Year]]=Table8[Year]),Table8[Type],_xlfn.XLOOKUP(TblRecords[[#This Row],[Full Date]],Table8[Date],Table8[Type],"No Deduction"))</f>
        <v>No Deduction</v>
      </c>
      <c r="N64" t="str">
        <f>IF(ISNUMBER(TblRecords[[#This Row],[Shift]]),_xlfn.XLOOKUP(TblRecords[[#This Row],[Full Date]],TblEvent[Full Date],TblEvent[Type],"ATTENDED"),"OFF")</f>
        <v>OFF</v>
      </c>
    </row>
    <row r="65" spans="1:14" x14ac:dyDescent="0.3">
      <c r="A65" s="4">
        <v>64</v>
      </c>
      <c r="B65" s="4">
        <v>2026</v>
      </c>
      <c r="C65" s="8" t="str" cm="1">
        <f t="array" ref="C65">TEXT(D65 - Table7[End Period Date], "MMMM")</f>
        <v>January</v>
      </c>
      <c r="D65" s="2">
        <v>46045</v>
      </c>
      <c r="E65" s="9" t="s">
        <v>6</v>
      </c>
      <c r="F65" s="5">
        <f>IF(OR(TblRecords[[#This Row],[Notes]]="OVERTIME",TblRecords[[#This Row],[Notes]]="HOLIDAY OVERTIME"),_xlfn.XLOOKUP(TblRecords[[#This Row],[Full Date]],TblEvent[Full Date],TblEvent[Hour]),0)</f>
        <v>0</v>
      </c>
      <c r="G65" s="5">
        <f>IF(OR(TblRecords[[#This Row],[Notes]]="OVERTIME",TblRecords[[#This Row],[Notes]]="HOLIDAY OVERTIME"),_xlfn.XLOOKUP(TblRecords[[#This Row],[Full Date]],TblEvent[Full Date],TblEvent[Break]),0)</f>
        <v>0</v>
      </c>
      <c r="H65" s="5">
        <f>_xlfn.XLOOKUP(TblRecords[[#This Row],[Shift]],Table6[Shift],Table6[Time],TIME(0,0,0))</f>
        <v>0</v>
      </c>
      <c r="I65" s="5" cm="1">
        <f t="array" ref="I65">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65" s="6">
        <f>IF(AND(ISNUMBER(TblRecords[[#This Row],[Shift]]),TblRecords[[#This Row],[Shift]]&gt;0),IF(TblRecords[[#This Row],[Notes]]="HOLIDAY OVERTIME",0,_xlfn.XLOOKUP(TblRecords[[#This Row],[Payroll Year]],TblDailyPay[Year],TblDailyPay[Rate])),0)</f>
        <v>0</v>
      </c>
      <c r="K65" s="6" cm="1">
        <f t="array" ref="K65">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65" s="6" cm="1">
        <f t="array" ref="L65">_xlfn.XLOOKUP(1,(DAY(TblRecords[[#This Row],[Full Date]])=Table8[Date])*(TblRecords[[#This Row],[Payroll Year]]=Table8[Year]),Table8[Rate],_xlfn.XLOOKUP(TblRecords[[#This Row],[Full Date]],Table8[Date],Table8[Rate],0))</f>
        <v>0</v>
      </c>
      <c r="M65" s="6" t="str" cm="1">
        <f t="array" ref="M65">_xlfn.XLOOKUP(1,(DAY(TblRecords[[#This Row],[Full Date]])=Table8[Date])*(TblRecords[[#This Row],[Payroll Year]]=Table8[Year]),Table8[Type],_xlfn.XLOOKUP(TblRecords[[#This Row],[Full Date]],Table8[Date],Table8[Type],"No Deduction"))</f>
        <v>No Deduction</v>
      </c>
      <c r="N65" t="str">
        <f>IF(ISNUMBER(TblRecords[[#This Row],[Shift]]),_xlfn.XLOOKUP(TblRecords[[#This Row],[Full Date]],TblEvent[Full Date],TblEvent[Type],"ATTENDED"),"OFF")</f>
        <v>OFF</v>
      </c>
    </row>
    <row r="66" spans="1:14" x14ac:dyDescent="0.3">
      <c r="A66" s="4">
        <v>65</v>
      </c>
      <c r="B66" s="4">
        <v>2026</v>
      </c>
      <c r="C66" s="8" t="str" cm="1">
        <f t="array" ref="C66">TEXT(D66 - Table7[End Period Date], "MMMM")</f>
        <v>January</v>
      </c>
      <c r="D66" s="2">
        <v>46046</v>
      </c>
      <c r="E66" s="9">
        <v>3</v>
      </c>
      <c r="F66" s="5">
        <f>IF(OR(TblRecords[[#This Row],[Notes]]="OVERTIME",TblRecords[[#This Row],[Notes]]="HOLIDAY OVERTIME"),_xlfn.XLOOKUP(TblRecords[[#This Row],[Full Date]],TblEvent[Full Date],TblEvent[Hour]),0)</f>
        <v>0</v>
      </c>
      <c r="G66" s="5">
        <f>IF(OR(TblRecords[[#This Row],[Notes]]="OVERTIME",TblRecords[[#This Row],[Notes]]="HOLIDAY OVERTIME"),_xlfn.XLOOKUP(TblRecords[[#This Row],[Full Date]],TblEvent[Full Date],TblEvent[Break]),0)</f>
        <v>0</v>
      </c>
      <c r="H66" s="5">
        <f>_xlfn.XLOOKUP(TblRecords[[#This Row],[Shift]],Table6[Shift],Table6[Time],TIME(0,0,0))</f>
        <v>0.91666666666666663</v>
      </c>
      <c r="I66" s="5" cm="1">
        <f t="array" ref="I66">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66" s="6">
        <f>IF(AND(ISNUMBER(TblRecords[[#This Row],[Shift]]),TblRecords[[#This Row],[Shift]]&gt;0),IF(TblRecords[[#This Row],[Notes]]="HOLIDAY OVERTIME",0,_xlfn.XLOOKUP(TblRecords[[#This Row],[Payroll Year]],TblDailyPay[Year],TblDailyPay[Rate])),0)</f>
        <v>133640</v>
      </c>
      <c r="K66" s="6" cm="1">
        <f t="array" ref="K66">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66" s="6" cm="1">
        <f t="array" ref="L66">_xlfn.XLOOKUP(1,(DAY(TblRecords[[#This Row],[Full Date]])=Table8[Date])*(TblRecords[[#This Row],[Payroll Year]]=Table8[Year]),Table8[Rate],_xlfn.XLOOKUP(TblRecords[[#This Row],[Full Date]],Table8[Date],Table8[Rate],0))</f>
        <v>0</v>
      </c>
      <c r="M66" s="6" t="str" cm="1">
        <f t="array" ref="M66">_xlfn.XLOOKUP(1,(DAY(TblRecords[[#This Row],[Full Date]])=Table8[Date])*(TblRecords[[#This Row],[Payroll Year]]=Table8[Year]),Table8[Type],_xlfn.XLOOKUP(TblRecords[[#This Row],[Full Date]],Table8[Date],Table8[Type],"No Deduction"))</f>
        <v>No Deduction</v>
      </c>
      <c r="N66" t="str">
        <f>IF(ISNUMBER(TblRecords[[#This Row],[Shift]]),_xlfn.XLOOKUP(TblRecords[[#This Row],[Full Date]],TblEvent[Full Date],TblEvent[Type],"ATTENDED"),"OFF")</f>
        <v>ATTENDED</v>
      </c>
    </row>
    <row r="67" spans="1:14" x14ac:dyDescent="0.3">
      <c r="A67" s="4">
        <v>66</v>
      </c>
      <c r="B67" s="4">
        <v>2026</v>
      </c>
      <c r="C67" s="8" t="str" cm="1">
        <f t="array" ref="C67">TEXT(D67 - Table7[End Period Date], "MMMM")</f>
        <v>January</v>
      </c>
      <c r="D67" s="2">
        <v>46047</v>
      </c>
      <c r="E67" s="9">
        <v>3</v>
      </c>
      <c r="F67" s="5">
        <f>IF(OR(TblRecords[[#This Row],[Notes]]="OVERTIME",TblRecords[[#This Row],[Notes]]="HOLIDAY OVERTIME"),_xlfn.XLOOKUP(TblRecords[[#This Row],[Full Date]],TblEvent[Full Date],TblEvent[Hour]),0)</f>
        <v>0</v>
      </c>
      <c r="G67" s="5">
        <f>IF(OR(TblRecords[[#This Row],[Notes]]="OVERTIME",TblRecords[[#This Row],[Notes]]="HOLIDAY OVERTIME"),_xlfn.XLOOKUP(TblRecords[[#This Row],[Full Date]],TblEvent[Full Date],TblEvent[Break]),0)</f>
        <v>0</v>
      </c>
      <c r="H67" s="5">
        <f>_xlfn.XLOOKUP(TblRecords[[#This Row],[Shift]],Table6[Shift],Table6[Time],TIME(0,0,0))</f>
        <v>0.91666666666666663</v>
      </c>
      <c r="I67" s="5" cm="1">
        <f t="array" ref="I67">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67" s="6">
        <f>IF(AND(ISNUMBER(TblRecords[[#This Row],[Shift]]),TblRecords[[#This Row],[Shift]]&gt;0),IF(TblRecords[[#This Row],[Notes]]="HOLIDAY OVERTIME",0,_xlfn.XLOOKUP(TblRecords[[#This Row],[Payroll Year]],TblDailyPay[Year],TblDailyPay[Rate])),0)</f>
        <v>133640</v>
      </c>
      <c r="K67" s="6" cm="1">
        <f t="array" ref="K67">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67" s="6" cm="1">
        <f t="array" ref="L67">_xlfn.XLOOKUP(1,(DAY(TblRecords[[#This Row],[Full Date]])=Table8[Date])*(TblRecords[[#This Row],[Payroll Year]]=Table8[Year]),Table8[Rate],_xlfn.XLOOKUP(TblRecords[[#This Row],[Full Date]],Table8[Date],Table8[Rate],0))</f>
        <v>0</v>
      </c>
      <c r="M67" s="6" t="str" cm="1">
        <f t="array" ref="M67">_xlfn.XLOOKUP(1,(DAY(TblRecords[[#This Row],[Full Date]])=Table8[Date])*(TblRecords[[#This Row],[Payroll Year]]=Table8[Year]),Table8[Type],_xlfn.XLOOKUP(TblRecords[[#This Row],[Full Date]],Table8[Date],Table8[Type],"No Deduction"))</f>
        <v>No Deduction</v>
      </c>
      <c r="N67" t="str">
        <f>IF(ISNUMBER(TblRecords[[#This Row],[Shift]]),_xlfn.XLOOKUP(TblRecords[[#This Row],[Full Date]],TblEvent[Full Date],TblEvent[Type],"ATTENDED"),"OFF")</f>
        <v>ATTENDED</v>
      </c>
    </row>
    <row r="68" spans="1:14" x14ac:dyDescent="0.3">
      <c r="A68" s="4">
        <v>67</v>
      </c>
      <c r="B68" s="4">
        <v>2026</v>
      </c>
      <c r="C68" s="8" t="str" cm="1">
        <f t="array" ref="C68">TEXT(D68 - Table7[End Period Date], "MMMM")</f>
        <v>January</v>
      </c>
      <c r="D68" s="2">
        <v>46048</v>
      </c>
      <c r="E68" s="9">
        <v>3</v>
      </c>
      <c r="F68" s="5">
        <f>IF(OR(TblRecords[[#This Row],[Notes]]="OVERTIME",TblRecords[[#This Row],[Notes]]="HOLIDAY OVERTIME"),_xlfn.XLOOKUP(TblRecords[[#This Row],[Full Date]],TblEvent[Full Date],TblEvent[Hour]),0)</f>
        <v>0</v>
      </c>
      <c r="G68" s="5">
        <f>IF(OR(TblRecords[[#This Row],[Notes]]="OVERTIME",TblRecords[[#This Row],[Notes]]="HOLIDAY OVERTIME"),_xlfn.XLOOKUP(TblRecords[[#This Row],[Full Date]],TblEvent[Full Date],TblEvent[Break]),0)</f>
        <v>0</v>
      </c>
      <c r="H68" s="5">
        <f>_xlfn.XLOOKUP(TblRecords[[#This Row],[Shift]],Table6[Shift],Table6[Time],TIME(0,0,0))</f>
        <v>0.91666666666666663</v>
      </c>
      <c r="I68" s="5" cm="1">
        <f t="array" ref="I68">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68" s="6">
        <f>IF(AND(ISNUMBER(TblRecords[[#This Row],[Shift]]),TblRecords[[#This Row],[Shift]]&gt;0),IF(TblRecords[[#This Row],[Notes]]="HOLIDAY OVERTIME",0,_xlfn.XLOOKUP(TblRecords[[#This Row],[Payroll Year]],TblDailyPay[Year],TblDailyPay[Rate])),0)</f>
        <v>133640</v>
      </c>
      <c r="K68" s="6" cm="1">
        <f t="array" ref="K68">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68" s="6" cm="1">
        <f t="array" ref="L68">_xlfn.XLOOKUP(1,(DAY(TblRecords[[#This Row],[Full Date]])=Table8[Date])*(TblRecords[[#This Row],[Payroll Year]]=Table8[Year]),Table8[Rate],_xlfn.XLOOKUP(TblRecords[[#This Row],[Full Date]],Table8[Date],Table8[Rate],0))</f>
        <v>0</v>
      </c>
      <c r="M68" s="6" t="str" cm="1">
        <f t="array" ref="M68">_xlfn.XLOOKUP(1,(DAY(TblRecords[[#This Row],[Full Date]])=Table8[Date])*(TblRecords[[#This Row],[Payroll Year]]=Table8[Year]),Table8[Type],_xlfn.XLOOKUP(TblRecords[[#This Row],[Full Date]],Table8[Date],Table8[Type],"No Deduction"))</f>
        <v>No Deduction</v>
      </c>
      <c r="N68" t="str">
        <f>IF(ISNUMBER(TblRecords[[#This Row],[Shift]]),_xlfn.XLOOKUP(TblRecords[[#This Row],[Full Date]],TblEvent[Full Date],TblEvent[Type],"ATTENDED"),"OFF")</f>
        <v>ATTENDED</v>
      </c>
    </row>
    <row r="69" spans="1:14" x14ac:dyDescent="0.3">
      <c r="A69" s="4">
        <v>68</v>
      </c>
      <c r="B69" s="4">
        <v>2026</v>
      </c>
      <c r="C69" s="8" t="str" cm="1">
        <f t="array" ref="C69">TEXT(D69 - Table7[End Period Date], "MMMM")</f>
        <v>January</v>
      </c>
      <c r="D69" s="2">
        <v>46049</v>
      </c>
      <c r="E69" s="9">
        <v>3</v>
      </c>
      <c r="F69" s="5">
        <f>IF(OR(TblRecords[[#This Row],[Notes]]="OVERTIME",TblRecords[[#This Row],[Notes]]="HOLIDAY OVERTIME"),_xlfn.XLOOKUP(TblRecords[[#This Row],[Full Date]],TblEvent[Full Date],TblEvent[Hour]),0)</f>
        <v>0</v>
      </c>
      <c r="G69" s="5">
        <f>IF(OR(TblRecords[[#This Row],[Notes]]="OVERTIME",TblRecords[[#This Row],[Notes]]="HOLIDAY OVERTIME"),_xlfn.XLOOKUP(TblRecords[[#This Row],[Full Date]],TblEvent[Full Date],TblEvent[Break]),0)</f>
        <v>0</v>
      </c>
      <c r="H69" s="5">
        <f>_xlfn.XLOOKUP(TblRecords[[#This Row],[Shift]],Table6[Shift],Table6[Time],TIME(0,0,0))</f>
        <v>0.91666666666666663</v>
      </c>
      <c r="I69" s="5" cm="1">
        <f t="array" ref="I69">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69" s="6">
        <f>IF(AND(ISNUMBER(TblRecords[[#This Row],[Shift]]),TblRecords[[#This Row],[Shift]]&gt;0),IF(TblRecords[[#This Row],[Notes]]="HOLIDAY OVERTIME",0,_xlfn.XLOOKUP(TblRecords[[#This Row],[Payroll Year]],TblDailyPay[Year],TblDailyPay[Rate])),0)</f>
        <v>133640</v>
      </c>
      <c r="K69" s="6" cm="1">
        <f t="array" ref="K69">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69" s="6" cm="1">
        <f t="array" ref="L69">_xlfn.XLOOKUP(1,(DAY(TblRecords[[#This Row],[Full Date]])=Table8[Date])*(TblRecords[[#This Row],[Payroll Year]]=Table8[Year]),Table8[Rate],_xlfn.XLOOKUP(TblRecords[[#This Row],[Full Date]],Table8[Date],Table8[Rate],0))</f>
        <v>0</v>
      </c>
      <c r="M69" s="6" t="str" cm="1">
        <f t="array" ref="M69">_xlfn.XLOOKUP(1,(DAY(TblRecords[[#This Row],[Full Date]])=Table8[Date])*(TblRecords[[#This Row],[Payroll Year]]=Table8[Year]),Table8[Type],_xlfn.XLOOKUP(TblRecords[[#This Row],[Full Date]],Table8[Date],Table8[Type],"No Deduction"))</f>
        <v>No Deduction</v>
      </c>
      <c r="N69" t="str">
        <f>IF(ISNUMBER(TblRecords[[#This Row],[Shift]]),_xlfn.XLOOKUP(TblRecords[[#This Row],[Full Date]],TblEvent[Full Date],TblEvent[Type],"ATTENDED"),"OFF")</f>
        <v>ATTENDED</v>
      </c>
    </row>
    <row r="70" spans="1:14" x14ac:dyDescent="0.3">
      <c r="A70" s="4">
        <v>69</v>
      </c>
      <c r="B70" s="4">
        <v>2026</v>
      </c>
      <c r="C70" s="8" t="str" cm="1">
        <f t="array" ref="C70">TEXT(D70 - Table7[End Period Date], "MMMM")</f>
        <v>January</v>
      </c>
      <c r="D70" s="2">
        <v>46050</v>
      </c>
      <c r="E70" s="9">
        <v>3</v>
      </c>
      <c r="F70" s="5">
        <f>IF(OR(TblRecords[[#This Row],[Notes]]="OVERTIME",TblRecords[[#This Row],[Notes]]="HOLIDAY OVERTIME"),_xlfn.XLOOKUP(TblRecords[[#This Row],[Full Date]],TblEvent[Full Date],TblEvent[Hour]),0)</f>
        <v>0</v>
      </c>
      <c r="G70" s="5">
        <f>IF(OR(TblRecords[[#This Row],[Notes]]="OVERTIME",TblRecords[[#This Row],[Notes]]="HOLIDAY OVERTIME"),_xlfn.XLOOKUP(TblRecords[[#This Row],[Full Date]],TblEvent[Full Date],TblEvent[Break]),0)</f>
        <v>0</v>
      </c>
      <c r="H70" s="5">
        <f>_xlfn.XLOOKUP(TblRecords[[#This Row],[Shift]],Table6[Shift],Table6[Time],TIME(0,0,0))</f>
        <v>0.91666666666666663</v>
      </c>
      <c r="I70" s="5" cm="1">
        <f t="array" ref="I70">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70" s="6">
        <f>IF(AND(ISNUMBER(TblRecords[[#This Row],[Shift]]),TblRecords[[#This Row],[Shift]]&gt;0),IF(TblRecords[[#This Row],[Notes]]="HOLIDAY OVERTIME",0,_xlfn.XLOOKUP(TblRecords[[#This Row],[Payroll Year]],TblDailyPay[Year],TblDailyPay[Rate])),0)</f>
        <v>133640</v>
      </c>
      <c r="K70" s="6" cm="1">
        <f t="array" ref="K70">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70" s="6" cm="1">
        <f t="array" ref="L70">_xlfn.XLOOKUP(1,(DAY(TblRecords[[#This Row],[Full Date]])=Table8[Date])*(TblRecords[[#This Row],[Payroll Year]]=Table8[Year]),Table8[Rate],_xlfn.XLOOKUP(TblRecords[[#This Row],[Full Date]],Table8[Date],Table8[Rate],0))</f>
        <v>0</v>
      </c>
      <c r="M70" s="6" t="str" cm="1">
        <f t="array" ref="M70">_xlfn.XLOOKUP(1,(DAY(TblRecords[[#This Row],[Full Date]])=Table8[Date])*(TblRecords[[#This Row],[Payroll Year]]=Table8[Year]),Table8[Type],_xlfn.XLOOKUP(TblRecords[[#This Row],[Full Date]],Table8[Date],Table8[Type],"No Deduction"))</f>
        <v>No Deduction</v>
      </c>
      <c r="N70" t="str">
        <f>IF(ISNUMBER(TblRecords[[#This Row],[Shift]]),_xlfn.XLOOKUP(TblRecords[[#This Row],[Full Date]],TblEvent[Full Date],TblEvent[Type],"ATTENDED"),"OFF")</f>
        <v>ATTENDED</v>
      </c>
    </row>
    <row r="71" spans="1:14" x14ac:dyDescent="0.3">
      <c r="A71" s="4">
        <v>70</v>
      </c>
      <c r="B71" s="4">
        <v>2026</v>
      </c>
      <c r="C71" s="8" t="str" cm="1">
        <f t="array" ref="C71">TEXT(D71 - Table7[End Period Date], "MMMM")</f>
        <v>January</v>
      </c>
      <c r="D71" s="2">
        <v>46051</v>
      </c>
      <c r="E71" s="9" t="s">
        <v>6</v>
      </c>
      <c r="F71" s="5">
        <f>IF(OR(TblRecords[[#This Row],[Notes]]="OVERTIME",TblRecords[[#This Row],[Notes]]="HOLIDAY OVERTIME"),_xlfn.XLOOKUP(TblRecords[[#This Row],[Full Date]],TblEvent[Full Date],TblEvent[Hour]),0)</f>
        <v>0</v>
      </c>
      <c r="G71" s="5">
        <f>IF(OR(TblRecords[[#This Row],[Notes]]="OVERTIME",TblRecords[[#This Row],[Notes]]="HOLIDAY OVERTIME"),_xlfn.XLOOKUP(TblRecords[[#This Row],[Full Date]],TblEvent[Full Date],TblEvent[Break]),0)</f>
        <v>0</v>
      </c>
      <c r="H71" s="5">
        <f>_xlfn.XLOOKUP(TblRecords[[#This Row],[Shift]],Table6[Shift],Table6[Time],TIME(0,0,0))</f>
        <v>0</v>
      </c>
      <c r="I71" s="5" cm="1">
        <f t="array" ref="I71">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71" s="6">
        <f>IF(AND(ISNUMBER(TblRecords[[#This Row],[Shift]]),TblRecords[[#This Row],[Shift]]&gt;0),IF(TblRecords[[#This Row],[Notes]]="HOLIDAY OVERTIME",0,_xlfn.XLOOKUP(TblRecords[[#This Row],[Payroll Year]],TblDailyPay[Year],TblDailyPay[Rate])),0)</f>
        <v>0</v>
      </c>
      <c r="K71" s="6" cm="1">
        <f t="array" ref="K71">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71" s="6" cm="1">
        <f t="array" ref="L71">_xlfn.XLOOKUP(1,(DAY(TblRecords[[#This Row],[Full Date]])=Table8[Date])*(TblRecords[[#This Row],[Payroll Year]]=Table8[Year]),Table8[Rate],_xlfn.XLOOKUP(TblRecords[[#This Row],[Full Date]],Table8[Date],Table8[Rate],0))</f>
        <v>0</v>
      </c>
      <c r="M71" s="6" t="str" cm="1">
        <f t="array" ref="M71">_xlfn.XLOOKUP(1,(DAY(TblRecords[[#This Row],[Full Date]])=Table8[Date])*(TblRecords[[#This Row],[Payroll Year]]=Table8[Year]),Table8[Type],_xlfn.XLOOKUP(TblRecords[[#This Row],[Full Date]],Table8[Date],Table8[Type],"No Deduction"))</f>
        <v>No Deduction</v>
      </c>
      <c r="N71" t="str">
        <f>IF(ISNUMBER(TblRecords[[#This Row],[Shift]]),_xlfn.XLOOKUP(TblRecords[[#This Row],[Full Date]],TblEvent[Full Date],TblEvent[Type],"ATTENDED"),"OFF")</f>
        <v>OFF</v>
      </c>
    </row>
    <row r="72" spans="1:14" x14ac:dyDescent="0.3">
      <c r="A72" s="4">
        <v>71</v>
      </c>
      <c r="B72" s="4">
        <v>2026</v>
      </c>
      <c r="C72" s="8" t="str" cm="1">
        <f t="array" ref="C72">TEXT(D72 - Table7[End Period Date], "MMMM")</f>
        <v>January</v>
      </c>
      <c r="D72" s="2">
        <v>46052</v>
      </c>
      <c r="E72" s="9" t="s">
        <v>6</v>
      </c>
      <c r="F72" s="5">
        <f>IF(OR(TblRecords[[#This Row],[Notes]]="OVERTIME",TblRecords[[#This Row],[Notes]]="HOLIDAY OVERTIME"),_xlfn.XLOOKUP(TblRecords[[#This Row],[Full Date]],TblEvent[Full Date],TblEvent[Hour]),0)</f>
        <v>0</v>
      </c>
      <c r="G72" s="5">
        <f>IF(OR(TblRecords[[#This Row],[Notes]]="OVERTIME",TblRecords[[#This Row],[Notes]]="HOLIDAY OVERTIME"),_xlfn.XLOOKUP(TblRecords[[#This Row],[Full Date]],TblEvent[Full Date],TblEvent[Break]),0)</f>
        <v>0</v>
      </c>
      <c r="H72" s="5">
        <f>_xlfn.XLOOKUP(TblRecords[[#This Row],[Shift]],Table6[Shift],Table6[Time],TIME(0,0,0))</f>
        <v>0</v>
      </c>
      <c r="I72" s="5" cm="1">
        <f t="array" ref="I72">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72" s="6">
        <f>IF(AND(ISNUMBER(TblRecords[[#This Row],[Shift]]),TblRecords[[#This Row],[Shift]]&gt;0),IF(TblRecords[[#This Row],[Notes]]="HOLIDAY OVERTIME",0,_xlfn.XLOOKUP(TblRecords[[#This Row],[Payroll Year]],TblDailyPay[Year],TblDailyPay[Rate])),0)</f>
        <v>0</v>
      </c>
      <c r="K72" s="6" cm="1">
        <f t="array" ref="K72">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72" s="6" cm="1">
        <f t="array" ref="L72">_xlfn.XLOOKUP(1,(DAY(TblRecords[[#This Row],[Full Date]])=Table8[Date])*(TblRecords[[#This Row],[Payroll Year]]=Table8[Year]),Table8[Rate],_xlfn.XLOOKUP(TblRecords[[#This Row],[Full Date]],Table8[Date],Table8[Rate],0))</f>
        <v>0</v>
      </c>
      <c r="M72" s="6" t="str" cm="1">
        <f t="array" ref="M72">_xlfn.XLOOKUP(1,(DAY(TblRecords[[#This Row],[Full Date]])=Table8[Date])*(TblRecords[[#This Row],[Payroll Year]]=Table8[Year]),Table8[Type],_xlfn.XLOOKUP(TblRecords[[#This Row],[Full Date]],Table8[Date],Table8[Type],"No Deduction"))</f>
        <v>No Deduction</v>
      </c>
      <c r="N72" t="str">
        <f>IF(ISNUMBER(TblRecords[[#This Row],[Shift]]),_xlfn.XLOOKUP(TblRecords[[#This Row],[Full Date]],TblEvent[Full Date],TblEvent[Type],"ATTENDED"),"OFF")</f>
        <v>OFF</v>
      </c>
    </row>
    <row r="73" spans="1:14" x14ac:dyDescent="0.3">
      <c r="A73" s="4">
        <v>72</v>
      </c>
      <c r="B73" s="4">
        <v>2026</v>
      </c>
      <c r="C73" s="8" t="str" cm="1">
        <f t="array" ref="C73">TEXT(D73 - Table7[End Period Date], "MMMM")</f>
        <v>January</v>
      </c>
      <c r="D73" s="2">
        <v>46053</v>
      </c>
      <c r="E73" s="9">
        <v>2</v>
      </c>
      <c r="F73" s="5">
        <f>IF(OR(TblRecords[[#This Row],[Notes]]="OVERTIME",TblRecords[[#This Row],[Notes]]="HOLIDAY OVERTIME"),_xlfn.XLOOKUP(TblRecords[[#This Row],[Full Date]],TblEvent[Full Date],TblEvent[Hour]),0)</f>
        <v>0</v>
      </c>
      <c r="G73" s="5">
        <f>IF(OR(TblRecords[[#This Row],[Notes]]="OVERTIME",TblRecords[[#This Row],[Notes]]="HOLIDAY OVERTIME"),_xlfn.XLOOKUP(TblRecords[[#This Row],[Full Date]],TblEvent[Full Date],TblEvent[Break]),0)</f>
        <v>0</v>
      </c>
      <c r="H73" s="5">
        <f>_xlfn.XLOOKUP(TblRecords[[#This Row],[Shift]],Table6[Shift],Table6[Time],TIME(0,0,0))</f>
        <v>0.58333333333333337</v>
      </c>
      <c r="I73" s="5" cm="1">
        <f t="array" ref="I73">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73" s="6">
        <f>IF(AND(ISNUMBER(TblRecords[[#This Row],[Shift]]),TblRecords[[#This Row],[Shift]]&gt;0),IF(TblRecords[[#This Row],[Notes]]="HOLIDAY OVERTIME",0,_xlfn.XLOOKUP(TblRecords[[#This Row],[Payroll Year]],TblDailyPay[Year],TblDailyPay[Rate])),0)</f>
        <v>133640</v>
      </c>
      <c r="K73" s="6" cm="1">
        <f t="array" ref="K73">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73" s="6" cm="1">
        <f t="array" ref="L73">_xlfn.XLOOKUP(1,(DAY(TblRecords[[#This Row],[Full Date]])=Table8[Date])*(TblRecords[[#This Row],[Payroll Year]]=Table8[Year]),Table8[Rate],_xlfn.XLOOKUP(TblRecords[[#This Row],[Full Date]],Table8[Date],Table8[Rate],0))</f>
        <v>0</v>
      </c>
      <c r="M73" s="6" t="str" cm="1">
        <f t="array" ref="M73">_xlfn.XLOOKUP(1,(DAY(TblRecords[[#This Row],[Full Date]])=Table8[Date])*(TblRecords[[#This Row],[Payroll Year]]=Table8[Year]),Table8[Type],_xlfn.XLOOKUP(TblRecords[[#This Row],[Full Date]],Table8[Date],Table8[Type],"No Deduction"))</f>
        <v>No Deduction</v>
      </c>
      <c r="N73" t="str">
        <f>IF(ISNUMBER(TblRecords[[#This Row],[Shift]]),_xlfn.XLOOKUP(TblRecords[[#This Row],[Full Date]],TblEvent[Full Date],TblEvent[Type],"ATTENDED"),"OFF")</f>
        <v>ATTENDED</v>
      </c>
    </row>
    <row r="74" spans="1:14" x14ac:dyDescent="0.3">
      <c r="A74" s="4">
        <v>73</v>
      </c>
      <c r="B74" s="4">
        <v>2026</v>
      </c>
      <c r="C74" s="8" t="str" cm="1">
        <f t="array" ref="C74">TEXT(D74 - Table7[End Period Date], "MMMM")</f>
        <v>January</v>
      </c>
      <c r="D74" s="2">
        <v>46054</v>
      </c>
      <c r="E74" s="9">
        <v>2</v>
      </c>
      <c r="F74" s="5">
        <f>IF(OR(TblRecords[[#This Row],[Notes]]="OVERTIME",TblRecords[[#This Row],[Notes]]="HOLIDAY OVERTIME"),_xlfn.XLOOKUP(TblRecords[[#This Row],[Full Date]],TblEvent[Full Date],TblEvent[Hour]),0)</f>
        <v>0</v>
      </c>
      <c r="G74" s="5">
        <f>IF(OR(TblRecords[[#This Row],[Notes]]="OVERTIME",TblRecords[[#This Row],[Notes]]="HOLIDAY OVERTIME"),_xlfn.XLOOKUP(TblRecords[[#This Row],[Full Date]],TblEvent[Full Date],TblEvent[Break]),0)</f>
        <v>0</v>
      </c>
      <c r="H74" s="5">
        <f>_xlfn.XLOOKUP(TblRecords[[#This Row],[Shift]],Table6[Shift],Table6[Time],TIME(0,0,0))</f>
        <v>0.58333333333333337</v>
      </c>
      <c r="I74" s="5" cm="1">
        <f t="array" ref="I74">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74" s="6">
        <f>IF(AND(ISNUMBER(TblRecords[[#This Row],[Shift]]),TblRecords[[#This Row],[Shift]]&gt;0),IF(TblRecords[[#This Row],[Notes]]="HOLIDAY OVERTIME",0,_xlfn.XLOOKUP(TblRecords[[#This Row],[Payroll Year]],TblDailyPay[Year],TblDailyPay[Rate])),0)</f>
        <v>133640</v>
      </c>
      <c r="K74" s="6" cm="1">
        <f t="array" ref="K74">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74" s="6" cm="1">
        <f t="array" ref="L74">_xlfn.XLOOKUP(1,(DAY(TblRecords[[#This Row],[Full Date]])=Table8[Date])*(TblRecords[[#This Row],[Payroll Year]]=Table8[Year]),Table8[Rate],_xlfn.XLOOKUP(TblRecords[[#This Row],[Full Date]],Table8[Date],Table8[Rate],0))</f>
        <v>0</v>
      </c>
      <c r="M74" s="6" t="str" cm="1">
        <f t="array" ref="M74">_xlfn.XLOOKUP(1,(DAY(TblRecords[[#This Row],[Full Date]])=Table8[Date])*(TblRecords[[#This Row],[Payroll Year]]=Table8[Year]),Table8[Type],_xlfn.XLOOKUP(TblRecords[[#This Row],[Full Date]],Table8[Date],Table8[Type],"No Deduction"))</f>
        <v>No Deduction</v>
      </c>
      <c r="N74" t="str">
        <f>IF(ISNUMBER(TblRecords[[#This Row],[Shift]]),_xlfn.XLOOKUP(TblRecords[[#This Row],[Full Date]],TblEvent[Full Date],TblEvent[Type],"ATTENDED"),"OFF")</f>
        <v>ATTENDED</v>
      </c>
    </row>
    <row r="75" spans="1:14" x14ac:dyDescent="0.3">
      <c r="A75" s="4">
        <v>74</v>
      </c>
      <c r="B75" s="4">
        <v>2026</v>
      </c>
      <c r="C75" s="8" t="str" cm="1">
        <f t="array" ref="C75">TEXT(D75 - Table7[End Period Date], "MMMM")</f>
        <v>January</v>
      </c>
      <c r="D75" s="2">
        <v>46055</v>
      </c>
      <c r="E75" s="9">
        <v>2</v>
      </c>
      <c r="F75" s="5">
        <f>IF(OR(TblRecords[[#This Row],[Notes]]="OVERTIME",TblRecords[[#This Row],[Notes]]="HOLIDAY OVERTIME"),_xlfn.XLOOKUP(TblRecords[[#This Row],[Full Date]],TblEvent[Full Date],TblEvent[Hour]),0)</f>
        <v>0</v>
      </c>
      <c r="G75" s="5">
        <f>IF(OR(TblRecords[[#This Row],[Notes]]="OVERTIME",TblRecords[[#This Row],[Notes]]="HOLIDAY OVERTIME"),_xlfn.XLOOKUP(TblRecords[[#This Row],[Full Date]],TblEvent[Full Date],TblEvent[Break]),0)</f>
        <v>0</v>
      </c>
      <c r="H75" s="5">
        <f>_xlfn.XLOOKUP(TblRecords[[#This Row],[Shift]],Table6[Shift],Table6[Time],TIME(0,0,0))</f>
        <v>0.58333333333333337</v>
      </c>
      <c r="I75" s="5" cm="1">
        <f t="array" ref="I75">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75" s="6">
        <f>IF(AND(ISNUMBER(TblRecords[[#This Row],[Shift]]),TblRecords[[#This Row],[Shift]]&gt;0),IF(TblRecords[[#This Row],[Notes]]="HOLIDAY OVERTIME",0,_xlfn.XLOOKUP(TblRecords[[#This Row],[Payroll Year]],TblDailyPay[Year],TblDailyPay[Rate])),0)</f>
        <v>133640</v>
      </c>
      <c r="K75" s="6" cm="1">
        <f t="array" ref="K75">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75" s="6" cm="1">
        <f t="array" ref="L75">_xlfn.XLOOKUP(1,(DAY(TblRecords[[#This Row],[Full Date]])=Table8[Date])*(TblRecords[[#This Row],[Payroll Year]]=Table8[Year]),Table8[Rate],_xlfn.XLOOKUP(TblRecords[[#This Row],[Full Date]],Table8[Date],Table8[Rate],0))</f>
        <v>0</v>
      </c>
      <c r="M75" s="6" t="str" cm="1">
        <f t="array" ref="M75">_xlfn.XLOOKUP(1,(DAY(TblRecords[[#This Row],[Full Date]])=Table8[Date])*(TblRecords[[#This Row],[Payroll Year]]=Table8[Year]),Table8[Type],_xlfn.XLOOKUP(TblRecords[[#This Row],[Full Date]],Table8[Date],Table8[Type],"No Deduction"))</f>
        <v>No Deduction</v>
      </c>
      <c r="N75" t="str">
        <f>IF(ISNUMBER(TblRecords[[#This Row],[Shift]]),_xlfn.XLOOKUP(TblRecords[[#This Row],[Full Date]],TblEvent[Full Date],TblEvent[Type],"ATTENDED"),"OFF")</f>
        <v>ATTENDED</v>
      </c>
    </row>
    <row r="76" spans="1:14" x14ac:dyDescent="0.3">
      <c r="A76" s="4">
        <v>75</v>
      </c>
      <c r="B76" s="4">
        <v>2026</v>
      </c>
      <c r="C76" s="8" t="str" cm="1">
        <f t="array" ref="C76">TEXT(D76 - Table7[End Period Date], "MMMM")</f>
        <v>January</v>
      </c>
      <c r="D76" s="2">
        <v>46056</v>
      </c>
      <c r="E76" s="9">
        <v>2</v>
      </c>
      <c r="F76" s="5">
        <f>IF(OR(TblRecords[[#This Row],[Notes]]="OVERTIME",TblRecords[[#This Row],[Notes]]="HOLIDAY OVERTIME"),_xlfn.XLOOKUP(TblRecords[[#This Row],[Full Date]],TblEvent[Full Date],TblEvent[Hour]),0)</f>
        <v>0</v>
      </c>
      <c r="G76" s="5">
        <f>IF(OR(TblRecords[[#This Row],[Notes]]="OVERTIME",TblRecords[[#This Row],[Notes]]="HOLIDAY OVERTIME"),_xlfn.XLOOKUP(TblRecords[[#This Row],[Full Date]],TblEvent[Full Date],TblEvent[Break]),0)</f>
        <v>0</v>
      </c>
      <c r="H76" s="5">
        <f>_xlfn.XLOOKUP(TblRecords[[#This Row],[Shift]],Table6[Shift],Table6[Time],TIME(0,0,0))</f>
        <v>0.58333333333333337</v>
      </c>
      <c r="I76" s="5" cm="1">
        <f t="array" ref="I76">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76" s="6">
        <f>IF(AND(ISNUMBER(TblRecords[[#This Row],[Shift]]),TblRecords[[#This Row],[Shift]]&gt;0),IF(TblRecords[[#This Row],[Notes]]="HOLIDAY OVERTIME",0,_xlfn.XLOOKUP(TblRecords[[#This Row],[Payroll Year]],TblDailyPay[Year],TblDailyPay[Rate])),0)</f>
        <v>133640</v>
      </c>
      <c r="K76" s="6" cm="1">
        <f t="array" ref="K76">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76" s="6" cm="1">
        <f t="array" ref="L76">_xlfn.XLOOKUP(1,(DAY(TblRecords[[#This Row],[Full Date]])=Table8[Date])*(TblRecords[[#This Row],[Payroll Year]]=Table8[Year]),Table8[Rate],_xlfn.XLOOKUP(TblRecords[[#This Row],[Full Date]],Table8[Date],Table8[Rate],0))</f>
        <v>0</v>
      </c>
      <c r="M76" s="6" t="str" cm="1">
        <f t="array" ref="M76">_xlfn.XLOOKUP(1,(DAY(TblRecords[[#This Row],[Full Date]])=Table8[Date])*(TblRecords[[#This Row],[Payroll Year]]=Table8[Year]),Table8[Type],_xlfn.XLOOKUP(TblRecords[[#This Row],[Full Date]],Table8[Date],Table8[Type],"No Deduction"))</f>
        <v>No Deduction</v>
      </c>
      <c r="N76" t="str">
        <f>IF(ISNUMBER(TblRecords[[#This Row],[Shift]]),_xlfn.XLOOKUP(TblRecords[[#This Row],[Full Date]],TblEvent[Full Date],TblEvent[Type],"ATTENDED"),"OFF")</f>
        <v>ATTENDED</v>
      </c>
    </row>
    <row r="77" spans="1:14" x14ac:dyDescent="0.3">
      <c r="A77" s="4">
        <v>76</v>
      </c>
      <c r="B77" s="4">
        <v>2026</v>
      </c>
      <c r="C77" s="8" t="str" cm="1">
        <f t="array" ref="C77">TEXT(D77 - Table7[End Period Date], "MMMM")</f>
        <v>January</v>
      </c>
      <c r="D77" s="2">
        <v>46057</v>
      </c>
      <c r="E77" s="9">
        <v>2</v>
      </c>
      <c r="F77" s="5">
        <f>IF(OR(TblRecords[[#This Row],[Notes]]="OVERTIME",TblRecords[[#This Row],[Notes]]="HOLIDAY OVERTIME"),_xlfn.XLOOKUP(TblRecords[[#This Row],[Full Date]],TblEvent[Full Date],TblEvent[Hour]),0)</f>
        <v>0</v>
      </c>
      <c r="G77" s="5">
        <f>IF(OR(TblRecords[[#This Row],[Notes]]="OVERTIME",TblRecords[[#This Row],[Notes]]="HOLIDAY OVERTIME"),_xlfn.XLOOKUP(TblRecords[[#This Row],[Full Date]],TblEvent[Full Date],TblEvent[Break]),0)</f>
        <v>0</v>
      </c>
      <c r="H77" s="5">
        <f>_xlfn.XLOOKUP(TblRecords[[#This Row],[Shift]],Table6[Shift],Table6[Time],TIME(0,0,0))</f>
        <v>0.58333333333333337</v>
      </c>
      <c r="I77" s="5" cm="1">
        <f t="array" ref="I77">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77" s="6">
        <f>IF(AND(ISNUMBER(TblRecords[[#This Row],[Shift]]),TblRecords[[#This Row],[Shift]]&gt;0),IF(TblRecords[[#This Row],[Notes]]="HOLIDAY OVERTIME",0,_xlfn.XLOOKUP(TblRecords[[#This Row],[Payroll Year]],TblDailyPay[Year],TblDailyPay[Rate])),0)</f>
        <v>133640</v>
      </c>
      <c r="K77" s="6" cm="1">
        <f t="array" ref="K77">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77" s="6" cm="1">
        <f t="array" ref="L77">_xlfn.XLOOKUP(1,(DAY(TblRecords[[#This Row],[Full Date]])=Table8[Date])*(TblRecords[[#This Row],[Payroll Year]]=Table8[Year]),Table8[Rate],_xlfn.XLOOKUP(TblRecords[[#This Row],[Full Date]],Table8[Date],Table8[Rate],0))</f>
        <v>0</v>
      </c>
      <c r="M77" s="6" t="str" cm="1">
        <f t="array" ref="M77">_xlfn.XLOOKUP(1,(DAY(TblRecords[[#This Row],[Full Date]])=Table8[Date])*(TblRecords[[#This Row],[Payroll Year]]=Table8[Year]),Table8[Type],_xlfn.XLOOKUP(TblRecords[[#This Row],[Full Date]],Table8[Date],Table8[Type],"No Deduction"))</f>
        <v>No Deduction</v>
      </c>
      <c r="N77" t="str">
        <f>IF(ISNUMBER(TblRecords[[#This Row],[Shift]]),_xlfn.XLOOKUP(TblRecords[[#This Row],[Full Date]],TblEvent[Full Date],TblEvent[Type],"ATTENDED"),"OFF")</f>
        <v>ATTENDED</v>
      </c>
    </row>
    <row r="78" spans="1:14" x14ac:dyDescent="0.3">
      <c r="A78" s="4">
        <v>77</v>
      </c>
      <c r="B78" s="4">
        <v>2026</v>
      </c>
      <c r="C78" s="8" t="str" cm="1">
        <f t="array" ref="C78">TEXT(D78 - Table7[End Period Date], "MMMM")</f>
        <v>January</v>
      </c>
      <c r="D78" s="2">
        <v>46058</v>
      </c>
      <c r="E78" s="9" t="s">
        <v>6</v>
      </c>
      <c r="F78" s="5">
        <f>IF(OR(TblRecords[[#This Row],[Notes]]="OVERTIME",TblRecords[[#This Row],[Notes]]="HOLIDAY OVERTIME"),_xlfn.XLOOKUP(TblRecords[[#This Row],[Full Date]],TblEvent[Full Date],TblEvent[Hour]),0)</f>
        <v>0</v>
      </c>
      <c r="G78" s="5">
        <f>IF(OR(TblRecords[[#This Row],[Notes]]="OVERTIME",TblRecords[[#This Row],[Notes]]="HOLIDAY OVERTIME"),_xlfn.XLOOKUP(TblRecords[[#This Row],[Full Date]],TblEvent[Full Date],TblEvent[Break]),0)</f>
        <v>0</v>
      </c>
      <c r="H78" s="5">
        <f>_xlfn.XLOOKUP(TblRecords[[#This Row],[Shift]],Table6[Shift],Table6[Time],TIME(0,0,0))</f>
        <v>0</v>
      </c>
      <c r="I78" s="5" cm="1">
        <f t="array" ref="I78">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78" s="6">
        <f>IF(AND(ISNUMBER(TblRecords[[#This Row],[Shift]]),TblRecords[[#This Row],[Shift]]&gt;0),IF(TblRecords[[#This Row],[Notes]]="HOLIDAY OVERTIME",0,_xlfn.XLOOKUP(TblRecords[[#This Row],[Payroll Year]],TblDailyPay[Year],TblDailyPay[Rate])),0)</f>
        <v>0</v>
      </c>
      <c r="K78" s="6" cm="1">
        <f t="array" ref="K78">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78" s="6" cm="1">
        <f t="array" ref="L78">_xlfn.XLOOKUP(1,(DAY(TblRecords[[#This Row],[Full Date]])=Table8[Date])*(TblRecords[[#This Row],[Payroll Year]]=Table8[Year]),Table8[Rate],_xlfn.XLOOKUP(TblRecords[[#This Row],[Full Date]],Table8[Date],Table8[Rate],0))</f>
        <v>0</v>
      </c>
      <c r="M78" s="6" t="str" cm="1">
        <f t="array" ref="M78">_xlfn.XLOOKUP(1,(DAY(TblRecords[[#This Row],[Full Date]])=Table8[Date])*(TblRecords[[#This Row],[Payroll Year]]=Table8[Year]),Table8[Type],_xlfn.XLOOKUP(TblRecords[[#This Row],[Full Date]],Table8[Date],Table8[Type],"No Deduction"))</f>
        <v>No Deduction</v>
      </c>
      <c r="N78" t="str">
        <f>IF(ISNUMBER(TblRecords[[#This Row],[Shift]]),_xlfn.XLOOKUP(TblRecords[[#This Row],[Full Date]],TblEvent[Full Date],TblEvent[Type],"ATTENDED"),"OFF")</f>
        <v>OFF</v>
      </c>
    </row>
    <row r="79" spans="1:14" x14ac:dyDescent="0.3">
      <c r="A79" s="4">
        <v>78</v>
      </c>
      <c r="B79" s="4">
        <v>2026</v>
      </c>
      <c r="C79" s="8" t="str" cm="1">
        <f t="array" ref="C79">TEXT(D79 - Table7[End Period Date], "MMMM")</f>
        <v>January</v>
      </c>
      <c r="D79" s="2">
        <v>46059</v>
      </c>
      <c r="E79" s="9">
        <v>1</v>
      </c>
      <c r="F79" s="5">
        <f>IF(OR(TblRecords[[#This Row],[Notes]]="OVERTIME",TblRecords[[#This Row],[Notes]]="HOLIDAY OVERTIME"),_xlfn.XLOOKUP(TblRecords[[#This Row],[Full Date]],TblEvent[Full Date],TblEvent[Hour]),0)</f>
        <v>0</v>
      </c>
      <c r="G79" s="5">
        <f>IF(OR(TblRecords[[#This Row],[Notes]]="OVERTIME",TblRecords[[#This Row],[Notes]]="HOLIDAY OVERTIME"),_xlfn.XLOOKUP(TblRecords[[#This Row],[Full Date]],TblEvent[Full Date],TblEvent[Break]),0)</f>
        <v>0</v>
      </c>
      <c r="H79" s="5">
        <f>_xlfn.XLOOKUP(TblRecords[[#This Row],[Shift]],Table6[Shift],Table6[Time],TIME(0,0,0))</f>
        <v>0.25</v>
      </c>
      <c r="I79" s="5" cm="1">
        <f t="array" ref="I79">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79" s="6">
        <f>IF(AND(ISNUMBER(TblRecords[[#This Row],[Shift]]),TblRecords[[#This Row],[Shift]]&gt;0),IF(TblRecords[[#This Row],[Notes]]="HOLIDAY OVERTIME",0,_xlfn.XLOOKUP(TblRecords[[#This Row],[Payroll Year]],TblDailyPay[Year],TblDailyPay[Rate])),0)</f>
        <v>133640</v>
      </c>
      <c r="K79" s="6" cm="1">
        <f t="array" ref="K79">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79" s="6" cm="1">
        <f t="array" ref="L79">_xlfn.XLOOKUP(1,(DAY(TblRecords[[#This Row],[Full Date]])=Table8[Date])*(TblRecords[[#This Row],[Payroll Year]]=Table8[Year]),Table8[Rate],_xlfn.XLOOKUP(TblRecords[[#This Row],[Full Date]],Table8[Date],Table8[Rate],0))</f>
        <v>0</v>
      </c>
      <c r="M79" s="6" t="str" cm="1">
        <f t="array" ref="M79">_xlfn.XLOOKUP(1,(DAY(TblRecords[[#This Row],[Full Date]])=Table8[Date])*(TblRecords[[#This Row],[Payroll Year]]=Table8[Year]),Table8[Type],_xlfn.XLOOKUP(TblRecords[[#This Row],[Full Date]],Table8[Date],Table8[Type],"No Deduction"))</f>
        <v>No Deduction</v>
      </c>
      <c r="N79" t="str">
        <f>IF(ISNUMBER(TblRecords[[#This Row],[Shift]]),_xlfn.XLOOKUP(TblRecords[[#This Row],[Full Date]],TblEvent[Full Date],TblEvent[Type],"ATTENDED"),"OFF")</f>
        <v>ATTENDED</v>
      </c>
    </row>
    <row r="80" spans="1:14" x14ac:dyDescent="0.3">
      <c r="A80" s="4">
        <v>79</v>
      </c>
      <c r="B80" s="4">
        <v>2026</v>
      </c>
      <c r="C80" s="8" t="str" cm="1">
        <f t="array" ref="C80">TEXT(D80 - Table7[End Period Date], "MMMM")</f>
        <v>January</v>
      </c>
      <c r="D80" s="2">
        <v>46060</v>
      </c>
      <c r="E80" s="9">
        <v>1</v>
      </c>
      <c r="F80" s="5">
        <f>IF(OR(TblRecords[[#This Row],[Notes]]="OVERTIME",TblRecords[[#This Row],[Notes]]="HOLIDAY OVERTIME"),_xlfn.XLOOKUP(TblRecords[[#This Row],[Full Date]],TblEvent[Full Date],TblEvent[Hour]),0)</f>
        <v>0</v>
      </c>
      <c r="G80" s="5">
        <f>IF(OR(TblRecords[[#This Row],[Notes]]="OVERTIME",TblRecords[[#This Row],[Notes]]="HOLIDAY OVERTIME"),_xlfn.XLOOKUP(TblRecords[[#This Row],[Full Date]],TblEvent[Full Date],TblEvent[Break]),0)</f>
        <v>0</v>
      </c>
      <c r="H80" s="5">
        <f>_xlfn.XLOOKUP(TblRecords[[#This Row],[Shift]],Table6[Shift],Table6[Time],TIME(0,0,0))</f>
        <v>0.25</v>
      </c>
      <c r="I80" s="5" cm="1">
        <f t="array" ref="I80">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80" s="6">
        <f>IF(AND(ISNUMBER(TblRecords[[#This Row],[Shift]]),TblRecords[[#This Row],[Shift]]&gt;0),IF(TblRecords[[#This Row],[Notes]]="HOLIDAY OVERTIME",0,_xlfn.XLOOKUP(TblRecords[[#This Row],[Payroll Year]],TblDailyPay[Year],TblDailyPay[Rate])),0)</f>
        <v>133640</v>
      </c>
      <c r="K80" s="6" cm="1">
        <f t="array" ref="K80">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80" s="6" cm="1">
        <f t="array" ref="L80">_xlfn.XLOOKUP(1,(DAY(TblRecords[[#This Row],[Full Date]])=Table8[Date])*(TblRecords[[#This Row],[Payroll Year]]=Table8[Year]),Table8[Rate],_xlfn.XLOOKUP(TblRecords[[#This Row],[Full Date]],Table8[Date],Table8[Rate],0))</f>
        <v>0</v>
      </c>
      <c r="M80" s="6" t="str" cm="1">
        <f t="array" ref="M80">_xlfn.XLOOKUP(1,(DAY(TblRecords[[#This Row],[Full Date]])=Table8[Date])*(TblRecords[[#This Row],[Payroll Year]]=Table8[Year]),Table8[Type],_xlfn.XLOOKUP(TblRecords[[#This Row],[Full Date]],Table8[Date],Table8[Type],"No Deduction"))</f>
        <v>No Deduction</v>
      </c>
      <c r="N80" t="str">
        <f>IF(ISNUMBER(TblRecords[[#This Row],[Shift]]),_xlfn.XLOOKUP(TblRecords[[#This Row],[Full Date]],TblEvent[Full Date],TblEvent[Type],"ATTENDED"),"OFF")</f>
        <v>ATTENDED</v>
      </c>
    </row>
    <row r="81" spans="1:14" x14ac:dyDescent="0.3">
      <c r="A81" s="4">
        <v>80</v>
      </c>
      <c r="B81" s="4">
        <v>2026</v>
      </c>
      <c r="C81" s="8" t="str" cm="1">
        <f t="array" ref="C81">TEXT(D81 - Table7[End Period Date], "MMMM")</f>
        <v>January</v>
      </c>
      <c r="D81" s="2">
        <v>46061</v>
      </c>
      <c r="E81" s="9">
        <v>1</v>
      </c>
      <c r="F81" s="5">
        <f>IF(OR(TblRecords[[#This Row],[Notes]]="OVERTIME",TblRecords[[#This Row],[Notes]]="HOLIDAY OVERTIME"),_xlfn.XLOOKUP(TblRecords[[#This Row],[Full Date]],TblEvent[Full Date],TblEvent[Hour]),0)</f>
        <v>0</v>
      </c>
      <c r="G81" s="5">
        <f>IF(OR(TblRecords[[#This Row],[Notes]]="OVERTIME",TblRecords[[#This Row],[Notes]]="HOLIDAY OVERTIME"),_xlfn.XLOOKUP(TblRecords[[#This Row],[Full Date]],TblEvent[Full Date],TblEvent[Break]),0)</f>
        <v>0</v>
      </c>
      <c r="H81" s="5">
        <f>_xlfn.XLOOKUP(TblRecords[[#This Row],[Shift]],Table6[Shift],Table6[Time],TIME(0,0,0))</f>
        <v>0.25</v>
      </c>
      <c r="I81" s="5" cm="1">
        <f t="array" ref="I81">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81" s="6">
        <f>IF(AND(ISNUMBER(TblRecords[[#This Row],[Shift]]),TblRecords[[#This Row],[Shift]]&gt;0),IF(TblRecords[[#This Row],[Notes]]="HOLIDAY OVERTIME",0,_xlfn.XLOOKUP(TblRecords[[#This Row],[Payroll Year]],TblDailyPay[Year],TblDailyPay[Rate])),0)</f>
        <v>133640</v>
      </c>
      <c r="K81" s="6" cm="1">
        <f t="array" ref="K81">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81" s="6" cm="1">
        <f t="array" ref="L81">_xlfn.XLOOKUP(1,(DAY(TblRecords[[#This Row],[Full Date]])=Table8[Date])*(TblRecords[[#This Row],[Payroll Year]]=Table8[Year]),Table8[Rate],_xlfn.XLOOKUP(TblRecords[[#This Row],[Full Date]],Table8[Date],Table8[Rate],0))</f>
        <v>0</v>
      </c>
      <c r="M81" s="6" t="str" cm="1">
        <f t="array" ref="M81">_xlfn.XLOOKUP(1,(DAY(TblRecords[[#This Row],[Full Date]])=Table8[Date])*(TblRecords[[#This Row],[Payroll Year]]=Table8[Year]),Table8[Type],_xlfn.XLOOKUP(TblRecords[[#This Row],[Full Date]],Table8[Date],Table8[Type],"No Deduction"))</f>
        <v>No Deduction</v>
      </c>
      <c r="N81" t="str">
        <f>IF(ISNUMBER(TblRecords[[#This Row],[Shift]]),_xlfn.XLOOKUP(TblRecords[[#This Row],[Full Date]],TblEvent[Full Date],TblEvent[Type],"ATTENDED"),"OFF")</f>
        <v>ATTENDED</v>
      </c>
    </row>
    <row r="82" spans="1:14" x14ac:dyDescent="0.3">
      <c r="A82" s="4">
        <v>81</v>
      </c>
      <c r="B82" s="4">
        <v>2026</v>
      </c>
      <c r="C82" s="8" t="str" cm="1">
        <f t="array" ref="C82">TEXT(D82 - Table7[End Period Date], "MMMM")</f>
        <v>January</v>
      </c>
      <c r="D82" s="2">
        <v>46062</v>
      </c>
      <c r="E82" s="9">
        <v>1</v>
      </c>
      <c r="F82" s="5">
        <f>IF(OR(TblRecords[[#This Row],[Notes]]="OVERTIME",TblRecords[[#This Row],[Notes]]="HOLIDAY OVERTIME"),_xlfn.XLOOKUP(TblRecords[[#This Row],[Full Date]],TblEvent[Full Date],TblEvent[Hour]),0)</f>
        <v>0</v>
      </c>
      <c r="G82" s="5">
        <f>IF(OR(TblRecords[[#This Row],[Notes]]="OVERTIME",TblRecords[[#This Row],[Notes]]="HOLIDAY OVERTIME"),_xlfn.XLOOKUP(TblRecords[[#This Row],[Full Date]],TblEvent[Full Date],TblEvent[Break]),0)</f>
        <v>0</v>
      </c>
      <c r="H82" s="5">
        <f>_xlfn.XLOOKUP(TblRecords[[#This Row],[Shift]],Table6[Shift],Table6[Time],TIME(0,0,0))</f>
        <v>0.25</v>
      </c>
      <c r="I82" s="5" cm="1">
        <f t="array" ref="I82">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82" s="6">
        <f>IF(AND(ISNUMBER(TblRecords[[#This Row],[Shift]]),TblRecords[[#This Row],[Shift]]&gt;0),IF(TblRecords[[#This Row],[Notes]]="HOLIDAY OVERTIME",0,_xlfn.XLOOKUP(TblRecords[[#This Row],[Payroll Year]],TblDailyPay[Year],TblDailyPay[Rate])),0)</f>
        <v>133640</v>
      </c>
      <c r="K82" s="6" cm="1">
        <f t="array" ref="K82">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82" s="6" cm="1">
        <f t="array" ref="L82">_xlfn.XLOOKUP(1,(DAY(TblRecords[[#This Row],[Full Date]])=Table8[Date])*(TblRecords[[#This Row],[Payroll Year]]=Table8[Year]),Table8[Rate],_xlfn.XLOOKUP(TblRecords[[#This Row],[Full Date]],Table8[Date],Table8[Rate],0))</f>
        <v>0</v>
      </c>
      <c r="M82" s="6" t="str" cm="1">
        <f t="array" ref="M82">_xlfn.XLOOKUP(1,(DAY(TblRecords[[#This Row],[Full Date]])=Table8[Date])*(TblRecords[[#This Row],[Payroll Year]]=Table8[Year]),Table8[Type],_xlfn.XLOOKUP(TblRecords[[#This Row],[Full Date]],Table8[Date],Table8[Type],"No Deduction"))</f>
        <v>No Deduction</v>
      </c>
      <c r="N82" t="str">
        <f>IF(ISNUMBER(TblRecords[[#This Row],[Shift]]),_xlfn.XLOOKUP(TblRecords[[#This Row],[Full Date]],TblEvent[Full Date],TblEvent[Type],"ATTENDED"),"OFF")</f>
        <v>ATTENDED</v>
      </c>
    </row>
    <row r="83" spans="1:14" x14ac:dyDescent="0.3">
      <c r="A83" s="4">
        <v>82</v>
      </c>
      <c r="B83" s="4">
        <v>2026</v>
      </c>
      <c r="C83" s="8" t="str" cm="1">
        <f t="array" ref="C83">TEXT(D83 - Table7[End Period Date], "MMMM")</f>
        <v>January</v>
      </c>
      <c r="D83" s="2">
        <v>46063</v>
      </c>
      <c r="E83" s="9">
        <v>1</v>
      </c>
      <c r="F83" s="5">
        <f>IF(OR(TblRecords[[#This Row],[Notes]]="OVERTIME",TblRecords[[#This Row],[Notes]]="HOLIDAY OVERTIME"),_xlfn.XLOOKUP(TblRecords[[#This Row],[Full Date]],TblEvent[Full Date],TblEvent[Hour]),0)</f>
        <v>0</v>
      </c>
      <c r="G83" s="5">
        <f>IF(OR(TblRecords[[#This Row],[Notes]]="OVERTIME",TblRecords[[#This Row],[Notes]]="HOLIDAY OVERTIME"),_xlfn.XLOOKUP(TblRecords[[#This Row],[Full Date]],TblEvent[Full Date],TblEvent[Break]),0)</f>
        <v>0</v>
      </c>
      <c r="H83" s="5">
        <f>_xlfn.XLOOKUP(TblRecords[[#This Row],[Shift]],Table6[Shift],Table6[Time],TIME(0,0,0))</f>
        <v>0.25</v>
      </c>
      <c r="I83" s="5" cm="1">
        <f t="array" ref="I83">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83" s="6">
        <f>IF(AND(ISNUMBER(TblRecords[[#This Row],[Shift]]),TblRecords[[#This Row],[Shift]]&gt;0),IF(TblRecords[[#This Row],[Notes]]="HOLIDAY OVERTIME",0,_xlfn.XLOOKUP(TblRecords[[#This Row],[Payroll Year]],TblDailyPay[Year],TblDailyPay[Rate])),0)</f>
        <v>133640</v>
      </c>
      <c r="K83" s="6" cm="1">
        <f t="array" ref="K83">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83" s="6" cm="1">
        <f t="array" ref="L83">_xlfn.XLOOKUP(1,(DAY(TblRecords[[#This Row],[Full Date]])=Table8[Date])*(TblRecords[[#This Row],[Payroll Year]]=Table8[Year]),Table8[Rate],_xlfn.XLOOKUP(TblRecords[[#This Row],[Full Date]],Table8[Date],Table8[Rate],0))</f>
        <v>0</v>
      </c>
      <c r="M83" s="6" t="str" cm="1">
        <f t="array" ref="M83">_xlfn.XLOOKUP(1,(DAY(TblRecords[[#This Row],[Full Date]])=Table8[Date])*(TblRecords[[#This Row],[Payroll Year]]=Table8[Year]),Table8[Type],_xlfn.XLOOKUP(TblRecords[[#This Row],[Full Date]],Table8[Date],Table8[Type],"No Deduction"))</f>
        <v>No Deduction</v>
      </c>
      <c r="N83" t="str">
        <f>IF(ISNUMBER(TblRecords[[#This Row],[Shift]]),_xlfn.XLOOKUP(TblRecords[[#This Row],[Full Date]],TblEvent[Full Date],TblEvent[Type],"ATTENDED"),"OFF")</f>
        <v>ATTENDED</v>
      </c>
    </row>
    <row r="84" spans="1:14" x14ac:dyDescent="0.3">
      <c r="A84" s="4">
        <v>83</v>
      </c>
      <c r="B84" s="4">
        <v>2026</v>
      </c>
      <c r="C84" s="8" t="str" cm="1">
        <f t="array" ref="C84">TEXT(D84 - Table7[End Period Date], "MMMM")</f>
        <v>January</v>
      </c>
      <c r="D84" s="2">
        <v>46064</v>
      </c>
      <c r="E84" s="9" t="s">
        <v>6</v>
      </c>
      <c r="F84" s="5">
        <f>IF(OR(TblRecords[[#This Row],[Notes]]="OVERTIME",TblRecords[[#This Row],[Notes]]="HOLIDAY OVERTIME"),_xlfn.XLOOKUP(TblRecords[[#This Row],[Full Date]],TblEvent[Full Date],TblEvent[Hour]),0)</f>
        <v>0</v>
      </c>
      <c r="G84" s="5">
        <f>IF(OR(TblRecords[[#This Row],[Notes]]="OVERTIME",TblRecords[[#This Row],[Notes]]="HOLIDAY OVERTIME"),_xlfn.XLOOKUP(TblRecords[[#This Row],[Full Date]],TblEvent[Full Date],TblEvent[Break]),0)</f>
        <v>0</v>
      </c>
      <c r="H84" s="5">
        <f>_xlfn.XLOOKUP(TblRecords[[#This Row],[Shift]],Table6[Shift],Table6[Time],TIME(0,0,0))</f>
        <v>0</v>
      </c>
      <c r="I84" s="5" cm="1">
        <f t="array" ref="I84">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84" s="6">
        <f>IF(AND(ISNUMBER(TblRecords[[#This Row],[Shift]]),TblRecords[[#This Row],[Shift]]&gt;0),IF(TblRecords[[#This Row],[Notes]]="HOLIDAY OVERTIME",0,_xlfn.XLOOKUP(TblRecords[[#This Row],[Payroll Year]],TblDailyPay[Year],TblDailyPay[Rate])),0)</f>
        <v>0</v>
      </c>
      <c r="K84" s="6" cm="1">
        <f t="array" ref="K84">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84" s="6" cm="1">
        <f t="array" ref="L84">_xlfn.XLOOKUP(1,(DAY(TblRecords[[#This Row],[Full Date]])=Table8[Date])*(TblRecords[[#This Row],[Payroll Year]]=Table8[Year]),Table8[Rate],_xlfn.XLOOKUP(TblRecords[[#This Row],[Full Date]],Table8[Date],Table8[Rate],0))</f>
        <v>0</v>
      </c>
      <c r="M84" s="6" t="str" cm="1">
        <f t="array" ref="M84">_xlfn.XLOOKUP(1,(DAY(TblRecords[[#This Row],[Full Date]])=Table8[Date])*(TblRecords[[#This Row],[Payroll Year]]=Table8[Year]),Table8[Type],_xlfn.XLOOKUP(TblRecords[[#This Row],[Full Date]],Table8[Date],Table8[Type],"No Deduction"))</f>
        <v>No Deduction</v>
      </c>
      <c r="N84" t="str">
        <f>IF(ISNUMBER(TblRecords[[#This Row],[Shift]]),_xlfn.XLOOKUP(TblRecords[[#This Row],[Full Date]],TblEvent[Full Date],TblEvent[Type],"ATTENDED"),"OFF")</f>
        <v>OFF</v>
      </c>
    </row>
    <row r="85" spans="1:14" x14ac:dyDescent="0.3">
      <c r="A85" s="4">
        <v>84</v>
      </c>
      <c r="B85" s="4">
        <v>2026</v>
      </c>
      <c r="C85" s="8" t="str" cm="1">
        <f t="array" ref="C85">TEXT(D85 - Table7[End Period Date], "MMMM")</f>
        <v>January</v>
      </c>
      <c r="D85" s="2">
        <v>46065</v>
      </c>
      <c r="E85" s="9" t="s">
        <v>6</v>
      </c>
      <c r="F85" s="5">
        <f>IF(OR(TblRecords[[#This Row],[Notes]]="OVERTIME",TblRecords[[#This Row],[Notes]]="HOLIDAY OVERTIME"),_xlfn.XLOOKUP(TblRecords[[#This Row],[Full Date]],TblEvent[Full Date],TblEvent[Hour]),0)</f>
        <v>0</v>
      </c>
      <c r="G85" s="5">
        <f>IF(OR(TblRecords[[#This Row],[Notes]]="OVERTIME",TblRecords[[#This Row],[Notes]]="HOLIDAY OVERTIME"),_xlfn.XLOOKUP(TblRecords[[#This Row],[Full Date]],TblEvent[Full Date],TblEvent[Break]),0)</f>
        <v>0</v>
      </c>
      <c r="H85" s="5">
        <f>_xlfn.XLOOKUP(TblRecords[[#This Row],[Shift]],Table6[Shift],Table6[Time],TIME(0,0,0))</f>
        <v>0</v>
      </c>
      <c r="I85" s="5" cm="1">
        <f t="array" ref="I85">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85" s="6">
        <f>IF(AND(ISNUMBER(TblRecords[[#This Row],[Shift]]),TblRecords[[#This Row],[Shift]]&gt;0),IF(TblRecords[[#This Row],[Notes]]="HOLIDAY OVERTIME",0,_xlfn.XLOOKUP(TblRecords[[#This Row],[Payroll Year]],TblDailyPay[Year],TblDailyPay[Rate])),0)</f>
        <v>0</v>
      </c>
      <c r="K85" s="6" cm="1">
        <f t="array" ref="K85">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85" s="6" cm="1">
        <f t="array" ref="L85">_xlfn.XLOOKUP(1,(DAY(TblRecords[[#This Row],[Full Date]])=Table8[Date])*(TblRecords[[#This Row],[Payroll Year]]=Table8[Year]),Table8[Rate],_xlfn.XLOOKUP(TblRecords[[#This Row],[Full Date]],Table8[Date],Table8[Rate],0))</f>
        <v>0</v>
      </c>
      <c r="M85" s="6" t="str" cm="1">
        <f t="array" ref="M85">_xlfn.XLOOKUP(1,(DAY(TblRecords[[#This Row],[Full Date]])=Table8[Date])*(TblRecords[[#This Row],[Payroll Year]]=Table8[Year]),Table8[Type],_xlfn.XLOOKUP(TblRecords[[#This Row],[Full Date]],Table8[Date],Table8[Type],"No Deduction"))</f>
        <v>No Deduction</v>
      </c>
      <c r="N85" t="str">
        <f>IF(ISNUMBER(TblRecords[[#This Row],[Shift]]),_xlfn.XLOOKUP(TblRecords[[#This Row],[Full Date]],TblEvent[Full Date],TblEvent[Type],"ATTENDED"),"OFF")</f>
        <v>OFF</v>
      </c>
    </row>
    <row r="86" spans="1:14" x14ac:dyDescent="0.3">
      <c r="A86" s="4">
        <v>85</v>
      </c>
      <c r="B86" s="4">
        <v>2026</v>
      </c>
      <c r="C86" s="8" t="str" cm="1">
        <f t="array" ref="C86">TEXT(D86 - Table7[End Period Date], "MMMM")</f>
        <v>January</v>
      </c>
      <c r="D86" s="2">
        <v>46066</v>
      </c>
      <c r="E86" s="9">
        <v>3</v>
      </c>
      <c r="F86" s="5">
        <f>IF(OR(TblRecords[[#This Row],[Notes]]="OVERTIME",TblRecords[[#This Row],[Notes]]="HOLIDAY OVERTIME"),_xlfn.XLOOKUP(TblRecords[[#This Row],[Full Date]],TblEvent[Full Date],TblEvent[Hour]),0)</f>
        <v>0</v>
      </c>
      <c r="G86" s="5">
        <f>IF(OR(TblRecords[[#This Row],[Notes]]="OVERTIME",TblRecords[[#This Row],[Notes]]="HOLIDAY OVERTIME"),_xlfn.XLOOKUP(TblRecords[[#This Row],[Full Date]],TblEvent[Full Date],TblEvent[Break]),0)</f>
        <v>0</v>
      </c>
      <c r="H86" s="5">
        <f>_xlfn.XLOOKUP(TblRecords[[#This Row],[Shift]],Table6[Shift],Table6[Time],TIME(0,0,0))</f>
        <v>0.91666666666666663</v>
      </c>
      <c r="I86" s="5" cm="1">
        <f t="array" ref="I86">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86" s="6">
        <f>IF(AND(ISNUMBER(TblRecords[[#This Row],[Shift]]),TblRecords[[#This Row],[Shift]]&gt;0),IF(TblRecords[[#This Row],[Notes]]="HOLIDAY OVERTIME",0,_xlfn.XLOOKUP(TblRecords[[#This Row],[Payroll Year]],TblDailyPay[Year],TblDailyPay[Rate])),0)</f>
        <v>133640</v>
      </c>
      <c r="K86" s="6" cm="1">
        <f t="array" ref="K86">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86" s="6" cm="1">
        <f t="array" ref="L86">_xlfn.XLOOKUP(1,(DAY(TblRecords[[#This Row],[Full Date]])=Table8[Date])*(TblRecords[[#This Row],[Payroll Year]]=Table8[Year]),Table8[Rate],_xlfn.XLOOKUP(TblRecords[[#This Row],[Full Date]],Table8[Date],Table8[Rate],0))</f>
        <v>0</v>
      </c>
      <c r="M86" s="6" t="str" cm="1">
        <f t="array" ref="M86">_xlfn.XLOOKUP(1,(DAY(TblRecords[[#This Row],[Full Date]])=Table8[Date])*(TblRecords[[#This Row],[Payroll Year]]=Table8[Year]),Table8[Type],_xlfn.XLOOKUP(TblRecords[[#This Row],[Full Date]],Table8[Date],Table8[Type],"No Deduction"))</f>
        <v>No Deduction</v>
      </c>
      <c r="N86" t="str">
        <f>IF(ISNUMBER(TblRecords[[#This Row],[Shift]]),_xlfn.XLOOKUP(TblRecords[[#This Row],[Full Date]],TblEvent[Full Date],TblEvent[Type],"ATTENDED"),"OFF")</f>
        <v>ATTENDED</v>
      </c>
    </row>
    <row r="87" spans="1:14" x14ac:dyDescent="0.3">
      <c r="A87" s="4">
        <v>86</v>
      </c>
      <c r="B87" s="4">
        <v>2026</v>
      </c>
      <c r="C87" s="8" t="str" cm="1">
        <f t="array" ref="C87">TEXT(D87 - Table7[End Period Date], "MMMM")</f>
        <v>January</v>
      </c>
      <c r="D87" s="2">
        <v>46067</v>
      </c>
      <c r="E87" s="9">
        <v>3</v>
      </c>
      <c r="F87" s="5">
        <f>IF(OR(TblRecords[[#This Row],[Notes]]="OVERTIME",TblRecords[[#This Row],[Notes]]="HOLIDAY OVERTIME"),_xlfn.XLOOKUP(TblRecords[[#This Row],[Full Date]],TblEvent[Full Date],TblEvent[Hour]),0)</f>
        <v>0</v>
      </c>
      <c r="G87" s="5">
        <f>IF(OR(TblRecords[[#This Row],[Notes]]="OVERTIME",TblRecords[[#This Row],[Notes]]="HOLIDAY OVERTIME"),_xlfn.XLOOKUP(TblRecords[[#This Row],[Full Date]],TblEvent[Full Date],TblEvent[Break]),0)</f>
        <v>0</v>
      </c>
      <c r="H87" s="5">
        <f>_xlfn.XLOOKUP(TblRecords[[#This Row],[Shift]],Table6[Shift],Table6[Time],TIME(0,0,0))</f>
        <v>0.91666666666666663</v>
      </c>
      <c r="I87" s="5" cm="1">
        <f t="array" ref="I87">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87" s="6">
        <f>IF(AND(ISNUMBER(TblRecords[[#This Row],[Shift]]),TblRecords[[#This Row],[Shift]]&gt;0),IF(TblRecords[[#This Row],[Notes]]="HOLIDAY OVERTIME",0,_xlfn.XLOOKUP(TblRecords[[#This Row],[Payroll Year]],TblDailyPay[Year],TblDailyPay[Rate])),0)</f>
        <v>133640</v>
      </c>
      <c r="K87" s="6" cm="1">
        <f t="array" ref="K87">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87" s="6" cm="1">
        <f t="array" ref="L87">_xlfn.XLOOKUP(1,(DAY(TblRecords[[#This Row],[Full Date]])=Table8[Date])*(TblRecords[[#This Row],[Payroll Year]]=Table8[Year]),Table8[Rate],_xlfn.XLOOKUP(TblRecords[[#This Row],[Full Date]],Table8[Date],Table8[Rate],0))</f>
        <v>0</v>
      </c>
      <c r="M87" s="6" t="str" cm="1">
        <f t="array" ref="M87">_xlfn.XLOOKUP(1,(DAY(TblRecords[[#This Row],[Full Date]])=Table8[Date])*(TblRecords[[#This Row],[Payroll Year]]=Table8[Year]),Table8[Type],_xlfn.XLOOKUP(TblRecords[[#This Row],[Full Date]],Table8[Date],Table8[Type],"No Deduction"))</f>
        <v>No Deduction</v>
      </c>
      <c r="N87" t="str">
        <f>IF(ISNUMBER(TblRecords[[#This Row],[Shift]]),_xlfn.XLOOKUP(TblRecords[[#This Row],[Full Date]],TblEvent[Full Date],TblEvent[Type],"ATTENDED"),"OFF")</f>
        <v>ATTENDED</v>
      </c>
    </row>
    <row r="88" spans="1:14" x14ac:dyDescent="0.3">
      <c r="A88" s="4">
        <v>87</v>
      </c>
      <c r="B88" s="4">
        <v>2026</v>
      </c>
      <c r="C88" s="8" t="str" cm="1">
        <f t="array" ref="C88">TEXT(D88 - Table7[End Period Date], "MMMM")</f>
        <v>January</v>
      </c>
      <c r="D88" s="2">
        <v>46068</v>
      </c>
      <c r="E88" s="9">
        <v>3</v>
      </c>
      <c r="F88" s="5">
        <f>IF(OR(TblRecords[[#This Row],[Notes]]="OVERTIME",TblRecords[[#This Row],[Notes]]="HOLIDAY OVERTIME"),_xlfn.XLOOKUP(TblRecords[[#This Row],[Full Date]],TblEvent[Full Date],TblEvent[Hour]),0)</f>
        <v>0</v>
      </c>
      <c r="G88" s="5">
        <f>IF(OR(TblRecords[[#This Row],[Notes]]="OVERTIME",TblRecords[[#This Row],[Notes]]="HOLIDAY OVERTIME"),_xlfn.XLOOKUP(TblRecords[[#This Row],[Full Date]],TblEvent[Full Date],TblEvent[Break]),0)</f>
        <v>0</v>
      </c>
      <c r="H88" s="5">
        <f>_xlfn.XLOOKUP(TblRecords[[#This Row],[Shift]],Table6[Shift],Table6[Time],TIME(0,0,0))</f>
        <v>0.91666666666666663</v>
      </c>
      <c r="I88" s="5" cm="1">
        <f t="array" ref="I88">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88" s="6">
        <f>IF(AND(ISNUMBER(TblRecords[[#This Row],[Shift]]),TblRecords[[#This Row],[Shift]]&gt;0),IF(TblRecords[[#This Row],[Notes]]="HOLIDAY OVERTIME",0,_xlfn.XLOOKUP(TblRecords[[#This Row],[Payroll Year]],TblDailyPay[Year],TblDailyPay[Rate])),0)</f>
        <v>133640</v>
      </c>
      <c r="K88" s="6" cm="1">
        <f t="array" ref="K88">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88" s="6" cm="1">
        <f t="array" ref="L88">_xlfn.XLOOKUP(1,(DAY(TblRecords[[#This Row],[Full Date]])=Table8[Date])*(TblRecords[[#This Row],[Payroll Year]]=Table8[Year]),Table8[Rate],_xlfn.XLOOKUP(TblRecords[[#This Row],[Full Date]],Table8[Date],Table8[Rate],0))</f>
        <v>0</v>
      </c>
      <c r="M88" s="6" t="str" cm="1">
        <f t="array" ref="M88">_xlfn.XLOOKUP(1,(DAY(TblRecords[[#This Row],[Full Date]])=Table8[Date])*(TblRecords[[#This Row],[Payroll Year]]=Table8[Year]),Table8[Type],_xlfn.XLOOKUP(TblRecords[[#This Row],[Full Date]],Table8[Date],Table8[Type],"No Deduction"))</f>
        <v>No Deduction</v>
      </c>
      <c r="N88" t="str">
        <f>IF(ISNUMBER(TblRecords[[#This Row],[Shift]]),_xlfn.XLOOKUP(TblRecords[[#This Row],[Full Date]],TblEvent[Full Date],TblEvent[Type],"ATTENDED"),"OFF")</f>
        <v>ATTENDED</v>
      </c>
    </row>
    <row r="89" spans="1:14" x14ac:dyDescent="0.3">
      <c r="A89" s="4">
        <v>88</v>
      </c>
      <c r="B89" s="4">
        <v>2026</v>
      </c>
      <c r="C89" s="8" t="str" cm="1">
        <f t="array" ref="C89">TEXT(D89 - Table7[End Period Date], "MMMM")</f>
        <v>January</v>
      </c>
      <c r="D89" s="2">
        <v>46069</v>
      </c>
      <c r="E89" s="9">
        <v>3</v>
      </c>
      <c r="F89" s="5">
        <f>IF(OR(TblRecords[[#This Row],[Notes]]="OVERTIME",TblRecords[[#This Row],[Notes]]="HOLIDAY OVERTIME"),_xlfn.XLOOKUP(TblRecords[[#This Row],[Full Date]],TblEvent[Full Date],TblEvent[Hour]),0)</f>
        <v>0</v>
      </c>
      <c r="G89" s="5">
        <f>IF(OR(TblRecords[[#This Row],[Notes]]="OVERTIME",TblRecords[[#This Row],[Notes]]="HOLIDAY OVERTIME"),_xlfn.XLOOKUP(TblRecords[[#This Row],[Full Date]],TblEvent[Full Date],TblEvent[Break]),0)</f>
        <v>0</v>
      </c>
      <c r="H89" s="5">
        <f>_xlfn.XLOOKUP(TblRecords[[#This Row],[Shift]],Table6[Shift],Table6[Time],TIME(0,0,0))</f>
        <v>0.91666666666666663</v>
      </c>
      <c r="I89" s="5" cm="1">
        <f t="array" ref="I89">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89" s="6">
        <f>IF(AND(ISNUMBER(TblRecords[[#This Row],[Shift]]),TblRecords[[#This Row],[Shift]]&gt;0),IF(TblRecords[[#This Row],[Notes]]="HOLIDAY OVERTIME",0,_xlfn.XLOOKUP(TblRecords[[#This Row],[Payroll Year]],TblDailyPay[Year],TblDailyPay[Rate])),0)</f>
        <v>133640</v>
      </c>
      <c r="K89" s="6" cm="1">
        <f t="array" ref="K89">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89" s="6" cm="1">
        <f t="array" ref="L89">_xlfn.XLOOKUP(1,(DAY(TblRecords[[#This Row],[Full Date]])=Table8[Date])*(TblRecords[[#This Row],[Payroll Year]]=Table8[Year]),Table8[Rate],_xlfn.XLOOKUP(TblRecords[[#This Row],[Full Date]],Table8[Date],Table8[Rate],0))</f>
        <v>0</v>
      </c>
      <c r="M89" s="6" t="str" cm="1">
        <f t="array" ref="M89">_xlfn.XLOOKUP(1,(DAY(TblRecords[[#This Row],[Full Date]])=Table8[Date])*(TblRecords[[#This Row],[Payroll Year]]=Table8[Year]),Table8[Type],_xlfn.XLOOKUP(TblRecords[[#This Row],[Full Date]],Table8[Date],Table8[Type],"No Deduction"))</f>
        <v>No Deduction</v>
      </c>
      <c r="N89" t="str">
        <f>IF(ISNUMBER(TblRecords[[#This Row],[Shift]]),_xlfn.XLOOKUP(TblRecords[[#This Row],[Full Date]],TblEvent[Full Date],TblEvent[Type],"ATTENDED"),"OFF")</f>
        <v>ATTENDED</v>
      </c>
    </row>
    <row r="90" spans="1:14" x14ac:dyDescent="0.3">
      <c r="A90" s="4">
        <v>89</v>
      </c>
      <c r="B90" s="4">
        <v>2026</v>
      </c>
      <c r="C90" s="8" t="str" cm="1">
        <f t="array" ref="C90">TEXT(D90 - Table7[End Period Date], "MMMM")</f>
        <v>January</v>
      </c>
      <c r="D90" s="2">
        <v>46070</v>
      </c>
      <c r="E90" s="9">
        <v>3</v>
      </c>
      <c r="F90" s="5">
        <f>IF(OR(TblRecords[[#This Row],[Notes]]="OVERTIME",TblRecords[[#This Row],[Notes]]="HOLIDAY OVERTIME"),_xlfn.XLOOKUP(TblRecords[[#This Row],[Full Date]],TblEvent[Full Date],TblEvent[Hour]),0)</f>
        <v>0.29166666666666669</v>
      </c>
      <c r="G90" s="5">
        <f>IF(OR(TblRecords[[#This Row],[Notes]]="OVERTIME",TblRecords[[#This Row],[Notes]]="HOLIDAY OVERTIME"),_xlfn.XLOOKUP(TblRecords[[#This Row],[Full Date]],TblEvent[Full Date],TblEvent[Break]),0)</f>
        <v>4.1666666666666664E-2</v>
      </c>
      <c r="H90" s="5">
        <f>_xlfn.XLOOKUP(TblRecords[[#This Row],[Shift]],Table6[Shift],Table6[Time],TIME(0,0,0))</f>
        <v>0.91666666666666663</v>
      </c>
      <c r="I90" s="5" cm="1">
        <f t="array" ref="I90">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1.25</v>
      </c>
      <c r="J90" s="6">
        <f>IF(AND(ISNUMBER(TblRecords[[#This Row],[Shift]]),TblRecords[[#This Row],[Shift]]&gt;0),IF(TblRecords[[#This Row],[Notes]]="HOLIDAY OVERTIME",0,_xlfn.XLOOKUP(TblRecords[[#This Row],[Payroll Year]],TblDailyPay[Year],TblDailyPay[Rate])),0)</f>
        <v>0</v>
      </c>
      <c r="K90" s="6" cm="1">
        <f t="array" ref="K90">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237927</v>
      </c>
      <c r="L90" s="6" cm="1">
        <f t="array" ref="L90">_xlfn.XLOOKUP(1,(DAY(TblRecords[[#This Row],[Full Date]])=Table8[Date])*(TblRecords[[#This Row],[Payroll Year]]=Table8[Year]),Table8[Rate],_xlfn.XLOOKUP(TblRecords[[#This Row],[Full Date]],Table8[Date],Table8[Rate],0))</f>
        <v>0</v>
      </c>
      <c r="M90" s="6" t="str" cm="1">
        <f t="array" ref="M90">_xlfn.XLOOKUP(1,(DAY(TblRecords[[#This Row],[Full Date]])=Table8[Date])*(TblRecords[[#This Row],[Payroll Year]]=Table8[Year]),Table8[Type],_xlfn.XLOOKUP(TblRecords[[#This Row],[Full Date]],Table8[Date],Table8[Type],"No Deduction"))</f>
        <v>No Deduction</v>
      </c>
      <c r="N90" t="str">
        <f>IF(ISNUMBER(TblRecords[[#This Row],[Shift]]),_xlfn.XLOOKUP(TblRecords[[#This Row],[Full Date]],TblEvent[Full Date],TblEvent[Type],"ATTENDED"),"OFF")</f>
        <v>HOLIDAY OVERTIME</v>
      </c>
    </row>
    <row r="91" spans="1:14" x14ac:dyDescent="0.3">
      <c r="A91" s="4">
        <v>90</v>
      </c>
      <c r="B91" s="4">
        <v>2026</v>
      </c>
      <c r="C91" s="8" t="str" cm="1">
        <f t="array" ref="C91">TEXT(D91 - Table7[End Period Date], "MMMM")</f>
        <v>January</v>
      </c>
      <c r="D91" s="2">
        <v>46071</v>
      </c>
      <c r="E91" s="9" t="s">
        <v>6</v>
      </c>
      <c r="F91" s="5">
        <f>IF(OR(TblRecords[[#This Row],[Notes]]="OVERTIME",TblRecords[[#This Row],[Notes]]="HOLIDAY OVERTIME"),_xlfn.XLOOKUP(TblRecords[[#This Row],[Full Date]],TblEvent[Full Date],TblEvent[Hour]),0)</f>
        <v>0</v>
      </c>
      <c r="G91" s="5">
        <f>IF(OR(TblRecords[[#This Row],[Notes]]="OVERTIME",TblRecords[[#This Row],[Notes]]="HOLIDAY OVERTIME"),_xlfn.XLOOKUP(TblRecords[[#This Row],[Full Date]],TblEvent[Full Date],TblEvent[Break]),0)</f>
        <v>0</v>
      </c>
      <c r="H91" s="5">
        <f>_xlfn.XLOOKUP(TblRecords[[#This Row],[Shift]],Table6[Shift],Table6[Time],TIME(0,0,0))</f>
        <v>0</v>
      </c>
      <c r="I91" s="5" cm="1">
        <f t="array" ref="I91">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91" s="6">
        <f>IF(AND(ISNUMBER(TblRecords[[#This Row],[Shift]]),TblRecords[[#This Row],[Shift]]&gt;0),IF(TblRecords[[#This Row],[Notes]]="HOLIDAY OVERTIME",0,_xlfn.XLOOKUP(TblRecords[[#This Row],[Payroll Year]],TblDailyPay[Year],TblDailyPay[Rate])),0)</f>
        <v>0</v>
      </c>
      <c r="K91" s="6" cm="1">
        <f t="array" ref="K91">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91" s="6" cm="1">
        <f t="array" ref="L91">_xlfn.XLOOKUP(1,(DAY(TblRecords[[#This Row],[Full Date]])=Table8[Date])*(TblRecords[[#This Row],[Payroll Year]]=Table8[Year]),Table8[Rate],_xlfn.XLOOKUP(TblRecords[[#This Row],[Full Date]],Table8[Date],Table8[Rate],0))</f>
        <v>0</v>
      </c>
      <c r="M91" s="6" t="str" cm="1">
        <f t="array" ref="M91">_xlfn.XLOOKUP(1,(DAY(TblRecords[[#This Row],[Full Date]])=Table8[Date])*(TblRecords[[#This Row],[Payroll Year]]=Table8[Year]),Table8[Type],_xlfn.XLOOKUP(TblRecords[[#This Row],[Full Date]],Table8[Date],Table8[Type],"No Deduction"))</f>
        <v>No Deduction</v>
      </c>
      <c r="N91" t="str">
        <f>IF(ISNUMBER(TblRecords[[#This Row],[Shift]]),_xlfn.XLOOKUP(TblRecords[[#This Row],[Full Date]],TblEvent[Full Date],TblEvent[Type],"ATTENDED"),"OFF")</f>
        <v>OFF</v>
      </c>
    </row>
    <row r="92" spans="1:14" x14ac:dyDescent="0.3">
      <c r="A92" s="4">
        <v>91</v>
      </c>
      <c r="B92" s="4">
        <v>2026</v>
      </c>
      <c r="C92" s="8" t="str" cm="1">
        <f t="array" ref="C92">TEXT(D92 - Table7[End Period Date], "MMMM")</f>
        <v>January</v>
      </c>
      <c r="D92" s="2">
        <v>46072</v>
      </c>
      <c r="E92" s="9" t="s">
        <v>6</v>
      </c>
      <c r="F92" s="5">
        <f>IF(OR(TblRecords[[#This Row],[Notes]]="OVERTIME",TblRecords[[#This Row],[Notes]]="HOLIDAY OVERTIME"),_xlfn.XLOOKUP(TblRecords[[#This Row],[Full Date]],TblEvent[Full Date],TblEvent[Hour]),0)</f>
        <v>0</v>
      </c>
      <c r="G92" s="5">
        <f>IF(OR(TblRecords[[#This Row],[Notes]]="OVERTIME",TblRecords[[#This Row],[Notes]]="HOLIDAY OVERTIME"),_xlfn.XLOOKUP(TblRecords[[#This Row],[Full Date]],TblEvent[Full Date],TblEvent[Break]),0)</f>
        <v>0</v>
      </c>
      <c r="H92" s="5">
        <f>_xlfn.XLOOKUP(TblRecords[[#This Row],[Shift]],Table6[Shift],Table6[Time],TIME(0,0,0))</f>
        <v>0</v>
      </c>
      <c r="I92" s="5" cm="1">
        <f t="array" ref="I92">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92" s="6">
        <f>IF(AND(ISNUMBER(TblRecords[[#This Row],[Shift]]),TblRecords[[#This Row],[Shift]]&gt;0),IF(TblRecords[[#This Row],[Notes]]="HOLIDAY OVERTIME",0,_xlfn.XLOOKUP(TblRecords[[#This Row],[Payroll Year]],TblDailyPay[Year],TblDailyPay[Rate])),0)</f>
        <v>0</v>
      </c>
      <c r="K92" s="6" cm="1">
        <f t="array" ref="K92">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92" s="6" cm="1">
        <f t="array" ref="L92">_xlfn.XLOOKUP(1,(DAY(TblRecords[[#This Row],[Full Date]])=Table8[Date])*(TblRecords[[#This Row],[Payroll Year]]=Table8[Year]),Table8[Rate],_xlfn.XLOOKUP(TblRecords[[#This Row],[Full Date]],Table8[Date],Table8[Rate],0))</f>
        <v>0</v>
      </c>
      <c r="M92" s="6" t="str" cm="1">
        <f t="array" ref="M92">_xlfn.XLOOKUP(1,(DAY(TblRecords[[#This Row],[Full Date]])=Table8[Date])*(TblRecords[[#This Row],[Payroll Year]]=Table8[Year]),Table8[Type],_xlfn.XLOOKUP(TblRecords[[#This Row],[Full Date]],Table8[Date],Table8[Type],"No Deduction"))</f>
        <v>No Deduction</v>
      </c>
      <c r="N92" t="str">
        <f>IF(ISNUMBER(TblRecords[[#This Row],[Shift]]),_xlfn.XLOOKUP(TblRecords[[#This Row],[Full Date]],TblEvent[Full Date],TblEvent[Type],"ATTENDED"),"OFF")</f>
        <v>OFF</v>
      </c>
    </row>
    <row r="93" spans="1:14" x14ac:dyDescent="0.3">
      <c r="A93" s="4">
        <v>92</v>
      </c>
      <c r="B93" s="4">
        <v>2026</v>
      </c>
      <c r="C93" s="8" t="str" cm="1">
        <f t="array" ref="C93">TEXT(D93 - Table7[End Period Date], "MMMM")</f>
        <v>January</v>
      </c>
      <c r="D93" s="2">
        <v>46073</v>
      </c>
      <c r="E93" s="9">
        <v>2</v>
      </c>
      <c r="F93" s="5">
        <f>IF(OR(TblRecords[[#This Row],[Notes]]="OVERTIME",TblRecords[[#This Row],[Notes]]="HOLIDAY OVERTIME"),_xlfn.XLOOKUP(TblRecords[[#This Row],[Full Date]],TblEvent[Full Date],TblEvent[Hour]),0)</f>
        <v>0</v>
      </c>
      <c r="G93" s="5">
        <f>IF(OR(TblRecords[[#This Row],[Notes]]="OVERTIME",TblRecords[[#This Row],[Notes]]="HOLIDAY OVERTIME"),_xlfn.XLOOKUP(TblRecords[[#This Row],[Full Date]],TblEvent[Full Date],TblEvent[Break]),0)</f>
        <v>0</v>
      </c>
      <c r="H93" s="5">
        <f>_xlfn.XLOOKUP(TblRecords[[#This Row],[Shift]],Table6[Shift],Table6[Time],TIME(0,0,0))</f>
        <v>0.58333333333333337</v>
      </c>
      <c r="I93" s="5" cm="1">
        <f t="array" ref="I93">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93" s="6">
        <f>IF(AND(ISNUMBER(TblRecords[[#This Row],[Shift]]),TblRecords[[#This Row],[Shift]]&gt;0),IF(TblRecords[[#This Row],[Notes]]="HOLIDAY OVERTIME",0,_xlfn.XLOOKUP(TblRecords[[#This Row],[Payroll Year]],TblDailyPay[Year],TblDailyPay[Rate])),0)</f>
        <v>133640</v>
      </c>
      <c r="K93" s="6" cm="1">
        <f t="array" ref="K93">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93" s="6" cm="1">
        <f t="array" ref="L93">_xlfn.XLOOKUP(1,(DAY(TblRecords[[#This Row],[Full Date]])=Table8[Date])*(TblRecords[[#This Row],[Payroll Year]]=Table8[Year]),Table8[Rate],_xlfn.XLOOKUP(TblRecords[[#This Row],[Full Date]],Table8[Date],Table8[Rate],0))</f>
        <v>-117640</v>
      </c>
      <c r="M93" s="6" t="str" cm="1">
        <f t="array" ref="M93">_xlfn.XLOOKUP(1,(DAY(TblRecords[[#This Row],[Full Date]])=Table8[Date])*(TblRecords[[#This Row],[Payroll Year]]=Table8[Year]),Table8[Type],_xlfn.XLOOKUP(TblRecords[[#This Row],[Full Date]],Table8[Date],Table8[Type],"No Deduction"))</f>
        <v>BPJS On-Cycle 2026</v>
      </c>
      <c r="N93" t="str">
        <f>IF(ISNUMBER(TblRecords[[#This Row],[Shift]]),_xlfn.XLOOKUP(TblRecords[[#This Row],[Full Date]],TblEvent[Full Date],TblEvent[Type],"ATTENDED"),"OFF")</f>
        <v>ATTENDED</v>
      </c>
    </row>
    <row r="94" spans="1:14" x14ac:dyDescent="0.3">
      <c r="A94" s="4">
        <v>93</v>
      </c>
      <c r="B94" s="4">
        <v>2026</v>
      </c>
      <c r="C94" s="8" t="str" cm="1">
        <f t="array" ref="C94">TEXT(D94 - Table7[End Period Date], "MMMM")</f>
        <v>February</v>
      </c>
      <c r="D94" s="2">
        <v>46074</v>
      </c>
      <c r="E94" s="9">
        <v>2</v>
      </c>
      <c r="F94" s="5">
        <f>IF(OR(TblRecords[[#This Row],[Notes]]="OVERTIME",TblRecords[[#This Row],[Notes]]="HOLIDAY OVERTIME"),_xlfn.XLOOKUP(TblRecords[[#This Row],[Full Date]],TblEvent[Full Date],TblEvent[Hour]),0)</f>
        <v>0</v>
      </c>
      <c r="G94" s="5">
        <f>IF(OR(TblRecords[[#This Row],[Notes]]="OVERTIME",TblRecords[[#This Row],[Notes]]="HOLIDAY OVERTIME"),_xlfn.XLOOKUP(TblRecords[[#This Row],[Full Date]],TblEvent[Full Date],TblEvent[Break]),0)</f>
        <v>0</v>
      </c>
      <c r="H94" s="5">
        <f>_xlfn.XLOOKUP(TblRecords[[#This Row],[Shift]],Table6[Shift],Table6[Time],TIME(0,0,0))</f>
        <v>0.58333333333333337</v>
      </c>
      <c r="I94" s="5" cm="1">
        <f t="array" ref="I94">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94" s="6">
        <f>IF(AND(ISNUMBER(TblRecords[[#This Row],[Shift]]),TblRecords[[#This Row],[Shift]]&gt;0),IF(TblRecords[[#This Row],[Notes]]="HOLIDAY OVERTIME",0,_xlfn.XLOOKUP(TblRecords[[#This Row],[Payroll Year]],TblDailyPay[Year],TblDailyPay[Rate])),0)</f>
        <v>133640</v>
      </c>
      <c r="K94" s="6" cm="1">
        <f t="array" ref="K94">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94" s="6" cm="1">
        <f t="array" ref="L94">_xlfn.XLOOKUP(1,(DAY(TblRecords[[#This Row],[Full Date]])=Table8[Date])*(TblRecords[[#This Row],[Payroll Year]]=Table8[Year]),Table8[Rate],_xlfn.XLOOKUP(TblRecords[[#This Row],[Full Date]],Table8[Date],Table8[Rate],0))</f>
        <v>0</v>
      </c>
      <c r="M94" s="6" t="str" cm="1">
        <f t="array" ref="M94">_xlfn.XLOOKUP(1,(DAY(TblRecords[[#This Row],[Full Date]])=Table8[Date])*(TblRecords[[#This Row],[Payroll Year]]=Table8[Year]),Table8[Type],_xlfn.XLOOKUP(TblRecords[[#This Row],[Full Date]],Table8[Date],Table8[Type],"No Deduction"))</f>
        <v>No Deduction</v>
      </c>
      <c r="N94" t="str">
        <f>IF(ISNUMBER(TblRecords[[#This Row],[Shift]]),_xlfn.XLOOKUP(TblRecords[[#This Row],[Full Date]],TblEvent[Full Date],TblEvent[Type],"ATTENDED"),"OFF")</f>
        <v>ATTENDED</v>
      </c>
    </row>
    <row r="95" spans="1:14" x14ac:dyDescent="0.3">
      <c r="A95" s="4">
        <v>94</v>
      </c>
      <c r="B95" s="4">
        <v>2026</v>
      </c>
      <c r="C95" s="8" t="str" cm="1">
        <f t="array" ref="C95">TEXT(D95 - Table7[End Period Date], "MMMM")</f>
        <v>February</v>
      </c>
      <c r="D95" s="2">
        <v>46075</v>
      </c>
      <c r="E95" s="9">
        <v>2</v>
      </c>
      <c r="F95" s="5">
        <f>IF(OR(TblRecords[[#This Row],[Notes]]="OVERTIME",TblRecords[[#This Row],[Notes]]="HOLIDAY OVERTIME"),_xlfn.XLOOKUP(TblRecords[[#This Row],[Full Date]],TblEvent[Full Date],TblEvent[Hour]),0)</f>
        <v>0</v>
      </c>
      <c r="G95" s="5">
        <f>IF(OR(TblRecords[[#This Row],[Notes]]="OVERTIME",TblRecords[[#This Row],[Notes]]="HOLIDAY OVERTIME"),_xlfn.XLOOKUP(TblRecords[[#This Row],[Full Date]],TblEvent[Full Date],TblEvent[Break]),0)</f>
        <v>0</v>
      </c>
      <c r="H95" s="5">
        <f>_xlfn.XLOOKUP(TblRecords[[#This Row],[Shift]],Table6[Shift],Table6[Time],TIME(0,0,0))</f>
        <v>0.58333333333333337</v>
      </c>
      <c r="I95" s="5" cm="1">
        <f t="array" ref="I95">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95" s="6">
        <f>IF(AND(ISNUMBER(TblRecords[[#This Row],[Shift]]),TblRecords[[#This Row],[Shift]]&gt;0),IF(TblRecords[[#This Row],[Notes]]="HOLIDAY OVERTIME",0,_xlfn.XLOOKUP(TblRecords[[#This Row],[Payroll Year]],TblDailyPay[Year],TblDailyPay[Rate])),0)</f>
        <v>133640</v>
      </c>
      <c r="K95" s="6" cm="1">
        <f t="array" ref="K95">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95" s="6" cm="1">
        <f t="array" ref="L95">_xlfn.XLOOKUP(1,(DAY(TblRecords[[#This Row],[Full Date]])=Table8[Date])*(TblRecords[[#This Row],[Payroll Year]]=Table8[Year]),Table8[Rate],_xlfn.XLOOKUP(TblRecords[[#This Row],[Full Date]],Table8[Date],Table8[Rate],0))</f>
        <v>0</v>
      </c>
      <c r="M95" s="6" t="str" cm="1">
        <f t="array" ref="M95">_xlfn.XLOOKUP(1,(DAY(TblRecords[[#This Row],[Full Date]])=Table8[Date])*(TblRecords[[#This Row],[Payroll Year]]=Table8[Year]),Table8[Type],_xlfn.XLOOKUP(TblRecords[[#This Row],[Full Date]],Table8[Date],Table8[Type],"No Deduction"))</f>
        <v>No Deduction</v>
      </c>
      <c r="N95" t="str">
        <f>IF(ISNUMBER(TblRecords[[#This Row],[Shift]]),_xlfn.XLOOKUP(TblRecords[[#This Row],[Full Date]],TblEvent[Full Date],TblEvent[Type],"ATTENDED"),"OFF")</f>
        <v>ATTENDED</v>
      </c>
    </row>
    <row r="96" spans="1:14" x14ac:dyDescent="0.3">
      <c r="A96" s="4">
        <v>95</v>
      </c>
      <c r="B96" s="4">
        <v>2026</v>
      </c>
      <c r="C96" s="8" t="str" cm="1">
        <f t="array" ref="C96">TEXT(D96 - Table7[End Period Date], "MMMM")</f>
        <v>February</v>
      </c>
      <c r="D96" s="2">
        <v>46076</v>
      </c>
      <c r="E96" s="9">
        <v>2</v>
      </c>
      <c r="F96" s="5">
        <f>IF(OR(TblRecords[[#This Row],[Notes]]="OVERTIME",TblRecords[[#This Row],[Notes]]="HOLIDAY OVERTIME"),_xlfn.XLOOKUP(TblRecords[[#This Row],[Full Date]],TblEvent[Full Date],TblEvent[Hour]),0)</f>
        <v>0</v>
      </c>
      <c r="G96" s="5">
        <f>IF(OR(TblRecords[[#This Row],[Notes]]="OVERTIME",TblRecords[[#This Row],[Notes]]="HOLIDAY OVERTIME"),_xlfn.XLOOKUP(TblRecords[[#This Row],[Full Date]],TblEvent[Full Date],TblEvent[Break]),0)</f>
        <v>0</v>
      </c>
      <c r="H96" s="5">
        <f>_xlfn.XLOOKUP(TblRecords[[#This Row],[Shift]],Table6[Shift],Table6[Time],TIME(0,0,0))</f>
        <v>0.58333333333333337</v>
      </c>
      <c r="I96" s="5" cm="1">
        <f t="array" ref="I96">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96" s="6">
        <f>IF(AND(ISNUMBER(TblRecords[[#This Row],[Shift]]),TblRecords[[#This Row],[Shift]]&gt;0),IF(TblRecords[[#This Row],[Notes]]="HOLIDAY OVERTIME",0,_xlfn.XLOOKUP(TblRecords[[#This Row],[Payroll Year]],TblDailyPay[Year],TblDailyPay[Rate])),0)</f>
        <v>133640</v>
      </c>
      <c r="K96" s="6" cm="1">
        <f t="array" ref="K96">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96" s="6" cm="1">
        <f t="array" ref="L96">_xlfn.XLOOKUP(1,(DAY(TblRecords[[#This Row],[Full Date]])=Table8[Date])*(TblRecords[[#This Row],[Payroll Year]]=Table8[Year]),Table8[Rate],_xlfn.XLOOKUP(TblRecords[[#This Row],[Full Date]],Table8[Date],Table8[Rate],0))</f>
        <v>0</v>
      </c>
      <c r="M96" s="6" t="str" cm="1">
        <f t="array" ref="M96">_xlfn.XLOOKUP(1,(DAY(TblRecords[[#This Row],[Full Date]])=Table8[Date])*(TblRecords[[#This Row],[Payroll Year]]=Table8[Year]),Table8[Type],_xlfn.XLOOKUP(TblRecords[[#This Row],[Full Date]],Table8[Date],Table8[Type],"No Deduction"))</f>
        <v>No Deduction</v>
      </c>
      <c r="N96" t="str">
        <f>IF(ISNUMBER(TblRecords[[#This Row],[Shift]]),_xlfn.XLOOKUP(TblRecords[[#This Row],[Full Date]],TblEvent[Full Date],TblEvent[Type],"ATTENDED"),"OFF")</f>
        <v>ATTENDED</v>
      </c>
    </row>
    <row r="97" spans="1:14" x14ac:dyDescent="0.3">
      <c r="A97" s="4">
        <v>96</v>
      </c>
      <c r="B97" s="4">
        <v>2026</v>
      </c>
      <c r="C97" s="8" t="str" cm="1">
        <f t="array" ref="C97">TEXT(D97 - Table7[End Period Date], "MMMM")</f>
        <v>February</v>
      </c>
      <c r="D97" s="2">
        <v>46077</v>
      </c>
      <c r="E97" s="9">
        <v>2</v>
      </c>
      <c r="F97" s="5">
        <f>IF(OR(TblRecords[[#This Row],[Notes]]="OVERTIME",TblRecords[[#This Row],[Notes]]="HOLIDAY OVERTIME"),_xlfn.XLOOKUP(TblRecords[[#This Row],[Full Date]],TblEvent[Full Date],TblEvent[Hour]),0)</f>
        <v>0</v>
      </c>
      <c r="G97" s="5">
        <f>IF(OR(TblRecords[[#This Row],[Notes]]="OVERTIME",TblRecords[[#This Row],[Notes]]="HOLIDAY OVERTIME"),_xlfn.XLOOKUP(TblRecords[[#This Row],[Full Date]],TblEvent[Full Date],TblEvent[Break]),0)</f>
        <v>0</v>
      </c>
      <c r="H97" s="5">
        <f>_xlfn.XLOOKUP(TblRecords[[#This Row],[Shift]],Table6[Shift],Table6[Time],TIME(0,0,0))</f>
        <v>0.58333333333333337</v>
      </c>
      <c r="I97" s="5" cm="1">
        <f t="array" ref="I97">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97" s="6">
        <f>IF(AND(ISNUMBER(TblRecords[[#This Row],[Shift]]),TblRecords[[#This Row],[Shift]]&gt;0),IF(TblRecords[[#This Row],[Notes]]="HOLIDAY OVERTIME",0,_xlfn.XLOOKUP(TblRecords[[#This Row],[Payroll Year]],TblDailyPay[Year],TblDailyPay[Rate])),0)</f>
        <v>133640</v>
      </c>
      <c r="K97" s="6" cm="1">
        <f t="array" ref="K97">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97" s="6" cm="1">
        <f t="array" ref="L97">_xlfn.XLOOKUP(1,(DAY(TblRecords[[#This Row],[Full Date]])=Table8[Date])*(TblRecords[[#This Row],[Payroll Year]]=Table8[Year]),Table8[Rate],_xlfn.XLOOKUP(TblRecords[[#This Row],[Full Date]],Table8[Date],Table8[Rate],0))</f>
        <v>0</v>
      </c>
      <c r="M97" s="6" t="str" cm="1">
        <f t="array" ref="M97">_xlfn.XLOOKUP(1,(DAY(TblRecords[[#This Row],[Full Date]])=Table8[Date])*(TblRecords[[#This Row],[Payroll Year]]=Table8[Year]),Table8[Type],_xlfn.XLOOKUP(TblRecords[[#This Row],[Full Date]],Table8[Date],Table8[Type],"No Deduction"))</f>
        <v>No Deduction</v>
      </c>
      <c r="N97" t="str">
        <f>IF(ISNUMBER(TblRecords[[#This Row],[Shift]]),_xlfn.XLOOKUP(TblRecords[[#This Row],[Full Date]],TblEvent[Full Date],TblEvent[Type],"ATTENDED"),"OFF")</f>
        <v>ATTENDED</v>
      </c>
    </row>
    <row r="98" spans="1:14" x14ac:dyDescent="0.3">
      <c r="A98" s="4">
        <v>97</v>
      </c>
      <c r="B98" s="4">
        <v>2026</v>
      </c>
      <c r="C98" s="8" t="str" cm="1">
        <f t="array" ref="C98">TEXT(D98 - Table7[End Period Date], "MMMM")</f>
        <v>February</v>
      </c>
      <c r="D98" s="2">
        <v>46078</v>
      </c>
      <c r="E98" s="9" t="s">
        <v>6</v>
      </c>
      <c r="F98" s="5">
        <f>IF(OR(TblRecords[[#This Row],[Notes]]="OVERTIME",TblRecords[[#This Row],[Notes]]="HOLIDAY OVERTIME"),_xlfn.XLOOKUP(TblRecords[[#This Row],[Full Date]],TblEvent[Full Date],TblEvent[Hour]),0)</f>
        <v>0</v>
      </c>
      <c r="G98" s="5">
        <f>IF(OR(TblRecords[[#This Row],[Notes]]="OVERTIME",TblRecords[[#This Row],[Notes]]="HOLIDAY OVERTIME"),_xlfn.XLOOKUP(TblRecords[[#This Row],[Full Date]],TblEvent[Full Date],TblEvent[Break]),0)</f>
        <v>0</v>
      </c>
      <c r="H98" s="5">
        <f>_xlfn.XLOOKUP(TblRecords[[#This Row],[Shift]],Table6[Shift],Table6[Time],TIME(0,0,0))</f>
        <v>0</v>
      </c>
      <c r="I98" s="5" cm="1">
        <f t="array" ref="I98">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98" s="6">
        <f>IF(AND(ISNUMBER(TblRecords[[#This Row],[Shift]]),TblRecords[[#This Row],[Shift]]&gt;0),IF(TblRecords[[#This Row],[Notes]]="HOLIDAY OVERTIME",0,_xlfn.XLOOKUP(TblRecords[[#This Row],[Payroll Year]],TblDailyPay[Year],TblDailyPay[Rate])),0)</f>
        <v>0</v>
      </c>
      <c r="K98" s="6" cm="1">
        <f t="array" ref="K98">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98" s="6" cm="1">
        <f t="array" ref="L98">_xlfn.XLOOKUP(1,(DAY(TblRecords[[#This Row],[Full Date]])=Table8[Date])*(TblRecords[[#This Row],[Payroll Year]]=Table8[Year]),Table8[Rate],_xlfn.XLOOKUP(TblRecords[[#This Row],[Full Date]],Table8[Date],Table8[Rate],0))</f>
        <v>0</v>
      </c>
      <c r="M98" s="6" t="str" cm="1">
        <f t="array" ref="M98">_xlfn.XLOOKUP(1,(DAY(TblRecords[[#This Row],[Full Date]])=Table8[Date])*(TblRecords[[#This Row],[Payroll Year]]=Table8[Year]),Table8[Type],_xlfn.XLOOKUP(TblRecords[[#This Row],[Full Date]],Table8[Date],Table8[Type],"No Deduction"))</f>
        <v>No Deduction</v>
      </c>
      <c r="N98" t="str">
        <f>IF(ISNUMBER(TblRecords[[#This Row],[Shift]]),_xlfn.XLOOKUP(TblRecords[[#This Row],[Full Date]],TblEvent[Full Date],TblEvent[Type],"ATTENDED"),"OFF")</f>
        <v>OFF</v>
      </c>
    </row>
    <row r="99" spans="1:14" x14ac:dyDescent="0.3">
      <c r="A99" s="4">
        <v>98</v>
      </c>
      <c r="B99" s="4">
        <v>2026</v>
      </c>
      <c r="C99" s="8" t="str" cm="1">
        <f t="array" ref="C99">TEXT(D99 - Table7[End Period Date], "MMMM")</f>
        <v>February</v>
      </c>
      <c r="D99" s="2">
        <v>46079</v>
      </c>
      <c r="E99" s="9">
        <v>1</v>
      </c>
      <c r="F99" s="5">
        <f>IF(OR(TblRecords[[#This Row],[Notes]]="OVERTIME",TblRecords[[#This Row],[Notes]]="HOLIDAY OVERTIME"),_xlfn.XLOOKUP(TblRecords[[#This Row],[Full Date]],TblEvent[Full Date],TblEvent[Hour]),0)</f>
        <v>0</v>
      </c>
      <c r="G99" s="5">
        <f>IF(OR(TblRecords[[#This Row],[Notes]]="OVERTIME",TblRecords[[#This Row],[Notes]]="HOLIDAY OVERTIME"),_xlfn.XLOOKUP(TblRecords[[#This Row],[Full Date]],TblEvent[Full Date],TblEvent[Break]),0)</f>
        <v>0</v>
      </c>
      <c r="H99" s="5">
        <f>_xlfn.XLOOKUP(TblRecords[[#This Row],[Shift]],Table6[Shift],Table6[Time],TIME(0,0,0))</f>
        <v>0.25</v>
      </c>
      <c r="I99" s="5" cm="1">
        <f t="array" ref="I99">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99" s="6">
        <f>IF(AND(ISNUMBER(TblRecords[[#This Row],[Shift]]),TblRecords[[#This Row],[Shift]]&gt;0),IF(TblRecords[[#This Row],[Notes]]="HOLIDAY OVERTIME",0,_xlfn.XLOOKUP(TblRecords[[#This Row],[Payroll Year]],TblDailyPay[Year],TblDailyPay[Rate])),0)</f>
        <v>133640</v>
      </c>
      <c r="K99" s="6" cm="1">
        <f t="array" ref="K99">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99" s="6" cm="1">
        <f t="array" ref="L99">_xlfn.XLOOKUP(1,(DAY(TblRecords[[#This Row],[Full Date]])=Table8[Date])*(TblRecords[[#This Row],[Payroll Year]]=Table8[Year]),Table8[Rate],_xlfn.XLOOKUP(TblRecords[[#This Row],[Full Date]],Table8[Date],Table8[Rate],0))</f>
        <v>0</v>
      </c>
      <c r="M99" s="6" t="str" cm="1">
        <f t="array" ref="M99">_xlfn.XLOOKUP(1,(DAY(TblRecords[[#This Row],[Full Date]])=Table8[Date])*(TblRecords[[#This Row],[Payroll Year]]=Table8[Year]),Table8[Type],_xlfn.XLOOKUP(TblRecords[[#This Row],[Full Date]],Table8[Date],Table8[Type],"No Deduction"))</f>
        <v>No Deduction</v>
      </c>
      <c r="N99" t="str">
        <f>IF(ISNUMBER(TblRecords[[#This Row],[Shift]]),_xlfn.XLOOKUP(TblRecords[[#This Row],[Full Date]],TblEvent[Full Date],TblEvent[Type],"ATTENDED"),"OFF")</f>
        <v>ATTENDED</v>
      </c>
    </row>
    <row r="100" spans="1:14" x14ac:dyDescent="0.3">
      <c r="A100" s="4">
        <v>99</v>
      </c>
      <c r="B100" s="4">
        <v>2026</v>
      </c>
      <c r="C100" s="8" t="str" cm="1">
        <f t="array" ref="C100">TEXT(D100 - Table7[End Period Date], "MMMM")</f>
        <v>February</v>
      </c>
      <c r="D100" s="2">
        <v>46080</v>
      </c>
      <c r="E100" s="9">
        <v>1</v>
      </c>
      <c r="F100" s="5">
        <f>IF(OR(TblRecords[[#This Row],[Notes]]="OVERTIME",TblRecords[[#This Row],[Notes]]="HOLIDAY OVERTIME"),_xlfn.XLOOKUP(TblRecords[[#This Row],[Full Date]],TblEvent[Full Date],TblEvent[Hour]),0)</f>
        <v>0</v>
      </c>
      <c r="G100" s="5">
        <f>IF(OR(TblRecords[[#This Row],[Notes]]="OVERTIME",TblRecords[[#This Row],[Notes]]="HOLIDAY OVERTIME"),_xlfn.XLOOKUP(TblRecords[[#This Row],[Full Date]],TblEvent[Full Date],TblEvent[Break]),0)</f>
        <v>0</v>
      </c>
      <c r="H100" s="5">
        <f>_xlfn.XLOOKUP(TblRecords[[#This Row],[Shift]],Table6[Shift],Table6[Time],TIME(0,0,0))</f>
        <v>0.25</v>
      </c>
      <c r="I100" s="5" cm="1">
        <f t="array" ref="I100">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100" s="6">
        <f>IF(AND(ISNUMBER(TblRecords[[#This Row],[Shift]]),TblRecords[[#This Row],[Shift]]&gt;0),IF(TblRecords[[#This Row],[Notes]]="HOLIDAY OVERTIME",0,_xlfn.XLOOKUP(TblRecords[[#This Row],[Payroll Year]],TblDailyPay[Year],TblDailyPay[Rate])),0)</f>
        <v>133640</v>
      </c>
      <c r="K100" s="6" cm="1">
        <f t="array" ref="K100">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00" s="6" cm="1">
        <f t="array" ref="L100">_xlfn.XLOOKUP(1,(DAY(TblRecords[[#This Row],[Full Date]])=Table8[Date])*(TblRecords[[#This Row],[Payroll Year]]=Table8[Year]),Table8[Rate],_xlfn.XLOOKUP(TblRecords[[#This Row],[Full Date]],Table8[Date],Table8[Rate],0))</f>
        <v>0</v>
      </c>
      <c r="M100" s="6" t="str" cm="1">
        <f t="array" ref="M100">_xlfn.XLOOKUP(1,(DAY(TblRecords[[#This Row],[Full Date]])=Table8[Date])*(TblRecords[[#This Row],[Payroll Year]]=Table8[Year]),Table8[Type],_xlfn.XLOOKUP(TblRecords[[#This Row],[Full Date]],Table8[Date],Table8[Type],"No Deduction"))</f>
        <v>No Deduction</v>
      </c>
      <c r="N100" t="str">
        <f>IF(ISNUMBER(TblRecords[[#This Row],[Shift]]),_xlfn.XLOOKUP(TblRecords[[#This Row],[Full Date]],TblEvent[Full Date],TblEvent[Type],"ATTENDED"),"OFF")</f>
        <v>ATTENDED</v>
      </c>
    </row>
    <row r="101" spans="1:14" x14ac:dyDescent="0.3">
      <c r="A101" s="4">
        <v>100</v>
      </c>
      <c r="B101" s="4">
        <v>2026</v>
      </c>
      <c r="C101" s="8" t="str" cm="1">
        <f t="array" ref="C101">TEXT(D101 - Table7[End Period Date], "MMMM")</f>
        <v>February</v>
      </c>
      <c r="D101" s="2">
        <v>46081</v>
      </c>
      <c r="E101" s="9">
        <v>1</v>
      </c>
      <c r="F101" s="5">
        <f>IF(OR(TblRecords[[#This Row],[Notes]]="OVERTIME",TblRecords[[#This Row],[Notes]]="HOLIDAY OVERTIME"),_xlfn.XLOOKUP(TblRecords[[#This Row],[Full Date]],TblEvent[Full Date],TblEvent[Hour]),0)</f>
        <v>0</v>
      </c>
      <c r="G101" s="5">
        <f>IF(OR(TblRecords[[#This Row],[Notes]]="OVERTIME",TblRecords[[#This Row],[Notes]]="HOLIDAY OVERTIME"),_xlfn.XLOOKUP(TblRecords[[#This Row],[Full Date]],TblEvent[Full Date],TblEvent[Break]),0)</f>
        <v>0</v>
      </c>
      <c r="H101" s="5">
        <f>_xlfn.XLOOKUP(TblRecords[[#This Row],[Shift]],Table6[Shift],Table6[Time],TIME(0,0,0))</f>
        <v>0.25</v>
      </c>
      <c r="I101" s="5" cm="1">
        <f t="array" ref="I101">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101" s="6">
        <f>IF(AND(ISNUMBER(TblRecords[[#This Row],[Shift]]),TblRecords[[#This Row],[Shift]]&gt;0),IF(TblRecords[[#This Row],[Notes]]="HOLIDAY OVERTIME",0,_xlfn.XLOOKUP(TblRecords[[#This Row],[Payroll Year]],TblDailyPay[Year],TblDailyPay[Rate])),0)</f>
        <v>133640</v>
      </c>
      <c r="K101" s="6" cm="1">
        <f t="array" ref="K101">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01" s="6" cm="1">
        <f t="array" ref="L101">_xlfn.XLOOKUP(1,(DAY(TblRecords[[#This Row],[Full Date]])=Table8[Date])*(TblRecords[[#This Row],[Payroll Year]]=Table8[Year]),Table8[Rate],_xlfn.XLOOKUP(TblRecords[[#This Row],[Full Date]],Table8[Date],Table8[Rate],0))</f>
        <v>0</v>
      </c>
      <c r="M101" s="6" t="str" cm="1">
        <f t="array" ref="M101">_xlfn.XLOOKUP(1,(DAY(TblRecords[[#This Row],[Full Date]])=Table8[Date])*(TblRecords[[#This Row],[Payroll Year]]=Table8[Year]),Table8[Type],_xlfn.XLOOKUP(TblRecords[[#This Row],[Full Date]],Table8[Date],Table8[Type],"No Deduction"))</f>
        <v>No Deduction</v>
      </c>
      <c r="N101" t="str">
        <f>IF(ISNUMBER(TblRecords[[#This Row],[Shift]]),_xlfn.XLOOKUP(TblRecords[[#This Row],[Full Date]],TblEvent[Full Date],TblEvent[Type],"ATTENDED"),"OFF")</f>
        <v>ATTENDED</v>
      </c>
    </row>
    <row r="102" spans="1:14" x14ac:dyDescent="0.3">
      <c r="A102" s="4">
        <v>101</v>
      </c>
      <c r="B102" s="4">
        <v>2026</v>
      </c>
      <c r="C102" s="8" t="str" cm="1">
        <f t="array" ref="C102">TEXT(D102 - Table7[End Period Date], "MMMM")</f>
        <v>February</v>
      </c>
      <c r="D102" s="2">
        <v>46082</v>
      </c>
      <c r="E102" s="9">
        <v>1</v>
      </c>
      <c r="F102" s="5">
        <f>IF(OR(TblRecords[[#This Row],[Notes]]="OVERTIME",TblRecords[[#This Row],[Notes]]="HOLIDAY OVERTIME"),_xlfn.XLOOKUP(TblRecords[[#This Row],[Full Date]],TblEvent[Full Date],TblEvent[Hour]),0)</f>
        <v>0</v>
      </c>
      <c r="G102" s="5">
        <f>IF(OR(TblRecords[[#This Row],[Notes]]="OVERTIME",TblRecords[[#This Row],[Notes]]="HOLIDAY OVERTIME"),_xlfn.XLOOKUP(TblRecords[[#This Row],[Full Date]],TblEvent[Full Date],TblEvent[Break]),0)</f>
        <v>0</v>
      </c>
      <c r="H102" s="5">
        <f>_xlfn.XLOOKUP(TblRecords[[#This Row],[Shift]],Table6[Shift],Table6[Time],TIME(0,0,0))</f>
        <v>0.25</v>
      </c>
      <c r="I102" s="5" cm="1">
        <f t="array" ref="I102">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102" s="6">
        <f>IF(AND(ISNUMBER(TblRecords[[#This Row],[Shift]]),TblRecords[[#This Row],[Shift]]&gt;0),IF(TblRecords[[#This Row],[Notes]]="HOLIDAY OVERTIME",0,_xlfn.XLOOKUP(TblRecords[[#This Row],[Payroll Year]],TblDailyPay[Year],TblDailyPay[Rate])),0)</f>
        <v>133640</v>
      </c>
      <c r="K102" s="6" cm="1">
        <f t="array" ref="K102">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02" s="6" cm="1">
        <f t="array" ref="L102">_xlfn.XLOOKUP(1,(DAY(TblRecords[[#This Row],[Full Date]])=Table8[Date])*(TblRecords[[#This Row],[Payroll Year]]=Table8[Year]),Table8[Rate],_xlfn.XLOOKUP(TblRecords[[#This Row],[Full Date]],Table8[Date],Table8[Rate],0))</f>
        <v>0</v>
      </c>
      <c r="M102" s="6" t="str" cm="1">
        <f t="array" ref="M102">_xlfn.XLOOKUP(1,(DAY(TblRecords[[#This Row],[Full Date]])=Table8[Date])*(TblRecords[[#This Row],[Payroll Year]]=Table8[Year]),Table8[Type],_xlfn.XLOOKUP(TblRecords[[#This Row],[Full Date]],Table8[Date],Table8[Type],"No Deduction"))</f>
        <v>No Deduction</v>
      </c>
      <c r="N102" t="str">
        <f>IF(ISNUMBER(TblRecords[[#This Row],[Shift]]),_xlfn.XLOOKUP(TblRecords[[#This Row],[Full Date]],TblEvent[Full Date],TblEvent[Type],"ATTENDED"),"OFF")</f>
        <v>ATTENDED</v>
      </c>
    </row>
    <row r="103" spans="1:14" x14ac:dyDescent="0.3">
      <c r="A103" s="4">
        <v>102</v>
      </c>
      <c r="B103" s="4">
        <v>2026</v>
      </c>
      <c r="C103" s="8" t="str" cm="1">
        <f t="array" ref="C103">TEXT(D103 - Table7[End Period Date], "MMMM")</f>
        <v>February</v>
      </c>
      <c r="D103" s="2">
        <v>46083</v>
      </c>
      <c r="E103" s="9">
        <v>1</v>
      </c>
      <c r="F103" s="5">
        <f>IF(OR(TblRecords[[#This Row],[Notes]]="OVERTIME",TblRecords[[#This Row],[Notes]]="HOLIDAY OVERTIME"),_xlfn.XLOOKUP(TblRecords[[#This Row],[Full Date]],TblEvent[Full Date],TblEvent[Hour]),0)</f>
        <v>0</v>
      </c>
      <c r="G103" s="5">
        <f>IF(OR(TblRecords[[#This Row],[Notes]]="OVERTIME",TblRecords[[#This Row],[Notes]]="HOLIDAY OVERTIME"),_xlfn.XLOOKUP(TblRecords[[#This Row],[Full Date]],TblEvent[Full Date],TblEvent[Break]),0)</f>
        <v>0</v>
      </c>
      <c r="H103" s="5">
        <f>_xlfn.XLOOKUP(TblRecords[[#This Row],[Shift]],Table6[Shift],Table6[Time],TIME(0,0,0))</f>
        <v>0.25</v>
      </c>
      <c r="I103" s="5" cm="1">
        <f t="array" ref="I103">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0.60416666666666674</v>
      </c>
      <c r="J103" s="6">
        <f>IF(AND(ISNUMBER(TblRecords[[#This Row],[Shift]]),TblRecords[[#This Row],[Shift]]&gt;0),IF(TblRecords[[#This Row],[Notes]]="HOLIDAY OVERTIME",0,_xlfn.XLOOKUP(TblRecords[[#This Row],[Payroll Year]],TblDailyPay[Year],TblDailyPay[Rate])),0)</f>
        <v>133640</v>
      </c>
      <c r="K103" s="6" cm="1">
        <f t="array" ref="K103">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03" s="6" cm="1">
        <f t="array" ref="L103">_xlfn.XLOOKUP(1,(DAY(TblRecords[[#This Row],[Full Date]])=Table8[Date])*(TblRecords[[#This Row],[Payroll Year]]=Table8[Year]),Table8[Rate],_xlfn.XLOOKUP(TblRecords[[#This Row],[Full Date]],Table8[Date],Table8[Rate],0))</f>
        <v>0</v>
      </c>
      <c r="M103" s="6" t="str" cm="1">
        <f t="array" ref="M103">_xlfn.XLOOKUP(1,(DAY(TblRecords[[#This Row],[Full Date]])=Table8[Date])*(TblRecords[[#This Row],[Payroll Year]]=Table8[Year]),Table8[Type],_xlfn.XLOOKUP(TblRecords[[#This Row],[Full Date]],Table8[Date],Table8[Type],"No Deduction"))</f>
        <v>No Deduction</v>
      </c>
      <c r="N103" t="str">
        <f>IF(ISNUMBER(TblRecords[[#This Row],[Shift]]),_xlfn.XLOOKUP(TblRecords[[#This Row],[Full Date]],TblEvent[Full Date],TblEvent[Type],"ATTENDED"),"OFF")</f>
        <v>ATTENDED</v>
      </c>
    </row>
    <row r="104" spans="1:14" x14ac:dyDescent="0.3">
      <c r="A104" s="4">
        <v>103</v>
      </c>
      <c r="B104" s="4">
        <v>2026</v>
      </c>
      <c r="C104" s="8" t="str" cm="1">
        <f t="array" ref="C104">TEXT(D104 - Table7[End Period Date], "MMMM")</f>
        <v>February</v>
      </c>
      <c r="D104" s="2">
        <v>46084</v>
      </c>
      <c r="E104" s="9" t="s">
        <v>6</v>
      </c>
      <c r="F104" s="5">
        <f>IF(OR(TblRecords[[#This Row],[Notes]]="OVERTIME",TblRecords[[#This Row],[Notes]]="HOLIDAY OVERTIME"),_xlfn.XLOOKUP(TblRecords[[#This Row],[Full Date]],TblEvent[Full Date],TblEvent[Hour]),0)</f>
        <v>0</v>
      </c>
      <c r="G104" s="5">
        <f>IF(OR(TblRecords[[#This Row],[Notes]]="OVERTIME",TblRecords[[#This Row],[Notes]]="HOLIDAY OVERTIME"),_xlfn.XLOOKUP(TblRecords[[#This Row],[Full Date]],TblEvent[Full Date],TblEvent[Break]),0)</f>
        <v>0</v>
      </c>
      <c r="H104" s="5">
        <f>_xlfn.XLOOKUP(TblRecords[[#This Row],[Shift]],Table6[Shift],Table6[Time],TIME(0,0,0))</f>
        <v>0</v>
      </c>
      <c r="I104" s="5" cm="1">
        <f t="array" ref="I104">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104" s="6">
        <f>IF(AND(ISNUMBER(TblRecords[[#This Row],[Shift]]),TblRecords[[#This Row],[Shift]]&gt;0),IF(TblRecords[[#This Row],[Notes]]="HOLIDAY OVERTIME",0,_xlfn.XLOOKUP(TblRecords[[#This Row],[Payroll Year]],TblDailyPay[Year],TblDailyPay[Rate])),0)</f>
        <v>0</v>
      </c>
      <c r="K104" s="6" cm="1">
        <f t="array" ref="K104">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04" s="6" cm="1">
        <f t="array" ref="L104">_xlfn.XLOOKUP(1,(DAY(TblRecords[[#This Row],[Full Date]])=Table8[Date])*(TblRecords[[#This Row],[Payroll Year]]=Table8[Year]),Table8[Rate],_xlfn.XLOOKUP(TblRecords[[#This Row],[Full Date]],Table8[Date],Table8[Rate],0))</f>
        <v>0</v>
      </c>
      <c r="M104" s="6" t="str" cm="1">
        <f t="array" ref="M104">_xlfn.XLOOKUP(1,(DAY(TblRecords[[#This Row],[Full Date]])=Table8[Date])*(TblRecords[[#This Row],[Payroll Year]]=Table8[Year]),Table8[Type],_xlfn.XLOOKUP(TblRecords[[#This Row],[Full Date]],Table8[Date],Table8[Type],"No Deduction"))</f>
        <v>No Deduction</v>
      </c>
      <c r="N104" t="str">
        <f>IF(ISNUMBER(TblRecords[[#This Row],[Shift]]),_xlfn.XLOOKUP(TblRecords[[#This Row],[Full Date]],TblEvent[Full Date],TblEvent[Type],"ATTENDED"),"OFF")</f>
        <v>OFF</v>
      </c>
    </row>
    <row r="105" spans="1:14" x14ac:dyDescent="0.3">
      <c r="A105" s="4">
        <v>104</v>
      </c>
      <c r="B105" s="4">
        <v>2026</v>
      </c>
      <c r="C105" s="8" t="str" cm="1">
        <f t="array" ref="C105">TEXT(D105 - Table7[End Period Date], "MMMM")</f>
        <v>February</v>
      </c>
      <c r="D105" s="2">
        <v>46085</v>
      </c>
      <c r="E105" s="9" t="s">
        <v>6</v>
      </c>
      <c r="F105" s="5">
        <f>IF(OR(TblRecords[[#This Row],[Notes]]="OVERTIME",TblRecords[[#This Row],[Notes]]="HOLIDAY OVERTIME"),_xlfn.XLOOKUP(TblRecords[[#This Row],[Full Date]],TblEvent[Full Date],TblEvent[Hour]),0)</f>
        <v>0</v>
      </c>
      <c r="G105" s="5">
        <f>IF(OR(TblRecords[[#This Row],[Notes]]="OVERTIME",TblRecords[[#This Row],[Notes]]="HOLIDAY OVERTIME"),_xlfn.XLOOKUP(TblRecords[[#This Row],[Full Date]],TblEvent[Full Date],TblEvent[Break]),0)</f>
        <v>0</v>
      </c>
      <c r="H105" s="5">
        <f>_xlfn.XLOOKUP(TblRecords[[#This Row],[Shift]],Table6[Shift],Table6[Time],TIME(0,0,0))</f>
        <v>0</v>
      </c>
      <c r="I105" s="5" cm="1">
        <f t="array" ref="I105">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105" s="6">
        <f>IF(AND(ISNUMBER(TblRecords[[#This Row],[Shift]]),TblRecords[[#This Row],[Shift]]&gt;0),IF(TblRecords[[#This Row],[Notes]]="HOLIDAY OVERTIME",0,_xlfn.XLOOKUP(TblRecords[[#This Row],[Payroll Year]],TblDailyPay[Year],TblDailyPay[Rate])),0)</f>
        <v>0</v>
      </c>
      <c r="K105" s="6" cm="1">
        <f t="array" ref="K105">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05" s="6" cm="1">
        <f t="array" ref="L105">_xlfn.XLOOKUP(1,(DAY(TblRecords[[#This Row],[Full Date]])=Table8[Date])*(TblRecords[[#This Row],[Payroll Year]]=Table8[Year]),Table8[Rate],_xlfn.XLOOKUP(TblRecords[[#This Row],[Full Date]],Table8[Date],Table8[Rate],0))</f>
        <v>0</v>
      </c>
      <c r="M105" s="6" t="str" cm="1">
        <f t="array" ref="M105">_xlfn.XLOOKUP(1,(DAY(TblRecords[[#This Row],[Full Date]])=Table8[Date])*(TblRecords[[#This Row],[Payroll Year]]=Table8[Year]),Table8[Type],_xlfn.XLOOKUP(TblRecords[[#This Row],[Full Date]],Table8[Date],Table8[Type],"No Deduction"))</f>
        <v>No Deduction</v>
      </c>
      <c r="N105" t="str">
        <f>IF(ISNUMBER(TblRecords[[#This Row],[Shift]]),_xlfn.XLOOKUP(TblRecords[[#This Row],[Full Date]],TblEvent[Full Date],TblEvent[Type],"ATTENDED"),"OFF")</f>
        <v>OFF</v>
      </c>
    </row>
    <row r="106" spans="1:14" x14ac:dyDescent="0.3">
      <c r="A106" s="4">
        <v>105</v>
      </c>
      <c r="B106" s="4">
        <v>2026</v>
      </c>
      <c r="C106" s="8" t="str" cm="1">
        <f t="array" ref="C106">TEXT(D106 - Table7[End Period Date], "MMMM")</f>
        <v>February</v>
      </c>
      <c r="D106" s="2">
        <v>46086</v>
      </c>
      <c r="E106" s="9">
        <v>3</v>
      </c>
      <c r="F106" s="5">
        <f>IF(OR(TblRecords[[#This Row],[Notes]]="OVERTIME",TblRecords[[#This Row],[Notes]]="HOLIDAY OVERTIME"),_xlfn.XLOOKUP(TblRecords[[#This Row],[Full Date]],TblEvent[Full Date],TblEvent[Hour]),0)</f>
        <v>0</v>
      </c>
      <c r="G106" s="5">
        <f>IF(OR(TblRecords[[#This Row],[Notes]]="OVERTIME",TblRecords[[#This Row],[Notes]]="HOLIDAY OVERTIME"),_xlfn.XLOOKUP(TblRecords[[#This Row],[Full Date]],TblEvent[Full Date],TblEvent[Break]),0)</f>
        <v>0</v>
      </c>
      <c r="H106" s="5">
        <f>_xlfn.XLOOKUP(TblRecords[[#This Row],[Shift]],Table6[Shift],Table6[Time],TIME(0,0,0))</f>
        <v>0.91666666666666663</v>
      </c>
      <c r="I106" s="5" cm="1">
        <f t="array" ref="I106">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106" s="6">
        <f>IF(AND(ISNUMBER(TblRecords[[#This Row],[Shift]]),TblRecords[[#This Row],[Shift]]&gt;0),IF(TblRecords[[#This Row],[Notes]]="HOLIDAY OVERTIME",0,_xlfn.XLOOKUP(TblRecords[[#This Row],[Payroll Year]],TblDailyPay[Year],TblDailyPay[Rate])),0)</f>
        <v>133640</v>
      </c>
      <c r="K106" s="6" cm="1">
        <f t="array" ref="K106">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06" s="6" cm="1">
        <f t="array" ref="L106">_xlfn.XLOOKUP(1,(DAY(TblRecords[[#This Row],[Full Date]])=Table8[Date])*(TblRecords[[#This Row],[Payroll Year]]=Table8[Year]),Table8[Rate],_xlfn.XLOOKUP(TblRecords[[#This Row],[Full Date]],Table8[Date],Table8[Rate],0))</f>
        <v>0</v>
      </c>
      <c r="M106" s="6" t="str" cm="1">
        <f t="array" ref="M106">_xlfn.XLOOKUP(1,(DAY(TblRecords[[#This Row],[Full Date]])=Table8[Date])*(TblRecords[[#This Row],[Payroll Year]]=Table8[Year]),Table8[Type],_xlfn.XLOOKUP(TblRecords[[#This Row],[Full Date]],Table8[Date],Table8[Type],"No Deduction"))</f>
        <v>No Deduction</v>
      </c>
      <c r="N106" t="str">
        <f>IF(ISNUMBER(TblRecords[[#This Row],[Shift]]),_xlfn.XLOOKUP(TblRecords[[#This Row],[Full Date]],TblEvent[Full Date],TblEvent[Type],"ATTENDED"),"OFF")</f>
        <v>ATTENDED</v>
      </c>
    </row>
    <row r="107" spans="1:14" x14ac:dyDescent="0.3">
      <c r="A107" s="4">
        <v>106</v>
      </c>
      <c r="B107" s="4">
        <v>2026</v>
      </c>
      <c r="C107" s="8" t="str" cm="1">
        <f t="array" ref="C107">TEXT(D107 - Table7[End Period Date], "MMMM")</f>
        <v>February</v>
      </c>
      <c r="D107" s="2">
        <v>46087</v>
      </c>
      <c r="E107" s="9">
        <v>3</v>
      </c>
      <c r="F107" s="5">
        <f>IF(OR(TblRecords[[#This Row],[Notes]]="OVERTIME",TblRecords[[#This Row],[Notes]]="HOLIDAY OVERTIME"),_xlfn.XLOOKUP(TblRecords[[#This Row],[Full Date]],TblEvent[Full Date],TblEvent[Hour]),0)</f>
        <v>0</v>
      </c>
      <c r="G107" s="5">
        <f>IF(OR(TblRecords[[#This Row],[Notes]]="OVERTIME",TblRecords[[#This Row],[Notes]]="HOLIDAY OVERTIME"),_xlfn.XLOOKUP(TblRecords[[#This Row],[Full Date]],TblEvent[Full Date],TblEvent[Break]),0)</f>
        <v>0</v>
      </c>
      <c r="H107" s="5">
        <f>_xlfn.XLOOKUP(TblRecords[[#This Row],[Shift]],Table6[Shift],Table6[Time],TIME(0,0,0))</f>
        <v>0.91666666666666663</v>
      </c>
      <c r="I107" s="5" cm="1">
        <f t="array" ref="I107">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107" s="6">
        <f>IF(AND(ISNUMBER(TblRecords[[#This Row],[Shift]]),TblRecords[[#This Row],[Shift]]&gt;0),IF(TblRecords[[#This Row],[Notes]]="HOLIDAY OVERTIME",0,_xlfn.XLOOKUP(TblRecords[[#This Row],[Payroll Year]],TblDailyPay[Year],TblDailyPay[Rate])),0)</f>
        <v>133640</v>
      </c>
      <c r="K107" s="6" cm="1">
        <f t="array" ref="K107">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07" s="6" cm="1">
        <f t="array" ref="L107">_xlfn.XLOOKUP(1,(DAY(TblRecords[[#This Row],[Full Date]])=Table8[Date])*(TblRecords[[#This Row],[Payroll Year]]=Table8[Year]),Table8[Rate],_xlfn.XLOOKUP(TblRecords[[#This Row],[Full Date]],Table8[Date],Table8[Rate],0))</f>
        <v>0</v>
      </c>
      <c r="M107" s="6" t="str" cm="1">
        <f t="array" ref="M107">_xlfn.XLOOKUP(1,(DAY(TblRecords[[#This Row],[Full Date]])=Table8[Date])*(TblRecords[[#This Row],[Payroll Year]]=Table8[Year]),Table8[Type],_xlfn.XLOOKUP(TblRecords[[#This Row],[Full Date]],Table8[Date],Table8[Type],"No Deduction"))</f>
        <v>No Deduction</v>
      </c>
      <c r="N107" t="str">
        <f>IF(ISNUMBER(TblRecords[[#This Row],[Shift]]),_xlfn.XLOOKUP(TblRecords[[#This Row],[Full Date]],TblEvent[Full Date],TblEvent[Type],"ATTENDED"),"OFF")</f>
        <v>ATTENDED</v>
      </c>
    </row>
    <row r="108" spans="1:14" x14ac:dyDescent="0.3">
      <c r="A108" s="4">
        <v>107</v>
      </c>
      <c r="B108" s="4">
        <v>2026</v>
      </c>
      <c r="C108" s="8" t="str" cm="1">
        <f t="array" ref="C108">TEXT(D108 - Table7[End Period Date], "MMMM")</f>
        <v>February</v>
      </c>
      <c r="D108" s="2">
        <v>46088</v>
      </c>
      <c r="E108" s="9">
        <v>3</v>
      </c>
      <c r="F108" s="5">
        <f>IF(OR(TblRecords[[#This Row],[Notes]]="OVERTIME",TblRecords[[#This Row],[Notes]]="HOLIDAY OVERTIME"),_xlfn.XLOOKUP(TblRecords[[#This Row],[Full Date]],TblEvent[Full Date],TblEvent[Hour]),0)</f>
        <v>0</v>
      </c>
      <c r="G108" s="5">
        <f>IF(OR(TblRecords[[#This Row],[Notes]]="OVERTIME",TblRecords[[#This Row],[Notes]]="HOLIDAY OVERTIME"),_xlfn.XLOOKUP(TblRecords[[#This Row],[Full Date]],TblEvent[Full Date],TblEvent[Break]),0)</f>
        <v>0</v>
      </c>
      <c r="H108" s="5">
        <f>_xlfn.XLOOKUP(TblRecords[[#This Row],[Shift]],Table6[Shift],Table6[Time],TIME(0,0,0))</f>
        <v>0.91666666666666663</v>
      </c>
      <c r="I108" s="5" cm="1">
        <f t="array" ref="I108">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108" s="6">
        <f>IF(AND(ISNUMBER(TblRecords[[#This Row],[Shift]]),TblRecords[[#This Row],[Shift]]&gt;0),IF(TblRecords[[#This Row],[Notes]]="HOLIDAY OVERTIME",0,_xlfn.XLOOKUP(TblRecords[[#This Row],[Payroll Year]],TblDailyPay[Year],TblDailyPay[Rate])),0)</f>
        <v>133640</v>
      </c>
      <c r="K108" s="6" cm="1">
        <f t="array" ref="K108">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08" s="6" cm="1">
        <f t="array" ref="L108">_xlfn.XLOOKUP(1,(DAY(TblRecords[[#This Row],[Full Date]])=Table8[Date])*(TblRecords[[#This Row],[Payroll Year]]=Table8[Year]),Table8[Rate],_xlfn.XLOOKUP(TblRecords[[#This Row],[Full Date]],Table8[Date],Table8[Rate],0))</f>
        <v>0</v>
      </c>
      <c r="M108" s="6" t="str" cm="1">
        <f t="array" ref="M108">_xlfn.XLOOKUP(1,(DAY(TblRecords[[#This Row],[Full Date]])=Table8[Date])*(TblRecords[[#This Row],[Payroll Year]]=Table8[Year]),Table8[Type],_xlfn.XLOOKUP(TblRecords[[#This Row],[Full Date]],Table8[Date],Table8[Type],"No Deduction"))</f>
        <v>No Deduction</v>
      </c>
      <c r="N108" t="str">
        <f>IF(ISNUMBER(TblRecords[[#This Row],[Shift]]),_xlfn.XLOOKUP(TblRecords[[#This Row],[Full Date]],TblEvent[Full Date],TblEvent[Type],"ATTENDED"),"OFF")</f>
        <v>ATTENDED</v>
      </c>
    </row>
    <row r="109" spans="1:14" x14ac:dyDescent="0.3">
      <c r="A109" s="4">
        <v>108</v>
      </c>
      <c r="B109" s="4">
        <v>2026</v>
      </c>
      <c r="C109" s="8" t="str" cm="1">
        <f t="array" ref="C109">TEXT(D109 - Table7[End Period Date], "MMMM")</f>
        <v>February</v>
      </c>
      <c r="D109" s="2">
        <v>46089</v>
      </c>
      <c r="E109" s="9">
        <v>3</v>
      </c>
      <c r="F109" s="5">
        <f>IF(OR(TblRecords[[#This Row],[Notes]]="OVERTIME",TblRecords[[#This Row],[Notes]]="HOLIDAY OVERTIME"),_xlfn.XLOOKUP(TblRecords[[#This Row],[Full Date]],TblEvent[Full Date],TblEvent[Hour]),0)</f>
        <v>0</v>
      </c>
      <c r="G109" s="5">
        <f>IF(OR(TblRecords[[#This Row],[Notes]]="OVERTIME",TblRecords[[#This Row],[Notes]]="HOLIDAY OVERTIME"),_xlfn.XLOOKUP(TblRecords[[#This Row],[Full Date]],TblEvent[Full Date],TblEvent[Break]),0)</f>
        <v>0</v>
      </c>
      <c r="H109" s="5">
        <f>_xlfn.XLOOKUP(TblRecords[[#This Row],[Shift]],Table6[Shift],Table6[Time],TIME(0,0,0))</f>
        <v>0.91666666666666663</v>
      </c>
      <c r="I109" s="5" cm="1">
        <f t="array" ref="I109">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109" s="6">
        <f>IF(AND(ISNUMBER(TblRecords[[#This Row],[Shift]]),TblRecords[[#This Row],[Shift]]&gt;0),IF(TblRecords[[#This Row],[Notes]]="HOLIDAY OVERTIME",0,_xlfn.XLOOKUP(TblRecords[[#This Row],[Payroll Year]],TblDailyPay[Year],TblDailyPay[Rate])),0)</f>
        <v>133640</v>
      </c>
      <c r="K109" s="6" cm="1">
        <f t="array" ref="K109">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09" s="6" cm="1">
        <f t="array" ref="L109">_xlfn.XLOOKUP(1,(DAY(TblRecords[[#This Row],[Full Date]])=Table8[Date])*(TblRecords[[#This Row],[Payroll Year]]=Table8[Year]),Table8[Rate],_xlfn.XLOOKUP(TblRecords[[#This Row],[Full Date]],Table8[Date],Table8[Rate],0))</f>
        <v>0</v>
      </c>
      <c r="M109" s="6" t="str" cm="1">
        <f t="array" ref="M109">_xlfn.XLOOKUP(1,(DAY(TblRecords[[#This Row],[Full Date]])=Table8[Date])*(TblRecords[[#This Row],[Payroll Year]]=Table8[Year]),Table8[Type],_xlfn.XLOOKUP(TblRecords[[#This Row],[Full Date]],Table8[Date],Table8[Type],"No Deduction"))</f>
        <v>No Deduction</v>
      </c>
      <c r="N109" t="str">
        <f>IF(ISNUMBER(TblRecords[[#This Row],[Shift]]),_xlfn.XLOOKUP(TblRecords[[#This Row],[Full Date]],TblEvent[Full Date],TblEvent[Type],"ATTENDED"),"OFF")</f>
        <v>ATTENDED</v>
      </c>
    </row>
    <row r="110" spans="1:14" x14ac:dyDescent="0.3">
      <c r="A110" s="4">
        <v>109</v>
      </c>
      <c r="B110" s="4">
        <v>2026</v>
      </c>
      <c r="C110" s="8" t="str" cm="1">
        <f t="array" ref="C110">TEXT(D110 - Table7[End Period Date], "MMMM")</f>
        <v>February</v>
      </c>
      <c r="D110" s="2">
        <v>46090</v>
      </c>
      <c r="E110" s="9">
        <v>3</v>
      </c>
      <c r="F110" s="5">
        <f>IF(OR(TblRecords[[#This Row],[Notes]]="OVERTIME",TblRecords[[#This Row],[Notes]]="HOLIDAY OVERTIME"),_xlfn.XLOOKUP(TblRecords[[#This Row],[Full Date]],TblEvent[Full Date],TblEvent[Hour]),0)</f>
        <v>0</v>
      </c>
      <c r="G110" s="5">
        <f>IF(OR(TblRecords[[#This Row],[Notes]]="OVERTIME",TblRecords[[#This Row],[Notes]]="HOLIDAY OVERTIME"),_xlfn.XLOOKUP(TblRecords[[#This Row],[Full Date]],TblEvent[Full Date],TblEvent[Break]),0)</f>
        <v>0</v>
      </c>
      <c r="H110" s="5">
        <f>_xlfn.XLOOKUP(TblRecords[[#This Row],[Shift]],Table6[Shift],Table6[Time],TIME(0,0,0))</f>
        <v>0.91666666666666663</v>
      </c>
      <c r="I110" s="5" cm="1">
        <f t="array" ref="I110">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1.2708333333333333</v>
      </c>
      <c r="J110" s="6">
        <f>IF(AND(ISNUMBER(TblRecords[[#This Row],[Shift]]),TblRecords[[#This Row],[Shift]]&gt;0),IF(TblRecords[[#This Row],[Notes]]="HOLIDAY OVERTIME",0,_xlfn.XLOOKUP(TblRecords[[#This Row],[Payroll Year]],TblDailyPay[Year],TblDailyPay[Rate])),0)</f>
        <v>133640</v>
      </c>
      <c r="K110" s="6" cm="1">
        <f t="array" ref="K110">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10" s="6" cm="1">
        <f t="array" ref="L110">_xlfn.XLOOKUP(1,(DAY(TblRecords[[#This Row],[Full Date]])=Table8[Date])*(TblRecords[[#This Row],[Payroll Year]]=Table8[Year]),Table8[Rate],_xlfn.XLOOKUP(TblRecords[[#This Row],[Full Date]],Table8[Date],Table8[Rate],0))</f>
        <v>0</v>
      </c>
      <c r="M110" s="6" t="str" cm="1">
        <f t="array" ref="M110">_xlfn.XLOOKUP(1,(DAY(TblRecords[[#This Row],[Full Date]])=Table8[Date])*(TblRecords[[#This Row],[Payroll Year]]=Table8[Year]),Table8[Type],_xlfn.XLOOKUP(TblRecords[[#This Row],[Full Date]],Table8[Date],Table8[Type],"No Deduction"))</f>
        <v>No Deduction</v>
      </c>
      <c r="N110" t="str">
        <f>IF(ISNUMBER(TblRecords[[#This Row],[Shift]]),_xlfn.XLOOKUP(TblRecords[[#This Row],[Full Date]],TblEvent[Full Date],TblEvent[Type],"ATTENDED"),"OFF")</f>
        <v>ATTENDED</v>
      </c>
    </row>
    <row r="111" spans="1:14" x14ac:dyDescent="0.3">
      <c r="A111" s="4">
        <v>110</v>
      </c>
      <c r="B111" s="4">
        <v>2026</v>
      </c>
      <c r="C111" s="8" t="str" cm="1">
        <f t="array" ref="C111">TEXT(D111 - Table7[End Period Date], "MMMM")</f>
        <v>February</v>
      </c>
      <c r="D111" s="2">
        <v>46091</v>
      </c>
      <c r="E111" s="9" t="s">
        <v>6</v>
      </c>
      <c r="F111" s="5">
        <f>IF(OR(TblRecords[[#This Row],[Notes]]="OVERTIME",TblRecords[[#This Row],[Notes]]="HOLIDAY OVERTIME"),_xlfn.XLOOKUP(TblRecords[[#This Row],[Full Date]],TblEvent[Full Date],TblEvent[Hour]),0)</f>
        <v>0</v>
      </c>
      <c r="G111" s="5">
        <f>IF(OR(TblRecords[[#This Row],[Notes]]="OVERTIME",TblRecords[[#This Row],[Notes]]="HOLIDAY OVERTIME"),_xlfn.XLOOKUP(TblRecords[[#This Row],[Full Date]],TblEvent[Full Date],TblEvent[Break]),0)</f>
        <v>0</v>
      </c>
      <c r="H111" s="5">
        <f>_xlfn.XLOOKUP(TblRecords[[#This Row],[Shift]],Table6[Shift],Table6[Time],TIME(0,0,0))</f>
        <v>0</v>
      </c>
      <c r="I111" s="5" cm="1">
        <f t="array" ref="I111">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111" s="6">
        <f>IF(AND(ISNUMBER(TblRecords[[#This Row],[Shift]]),TblRecords[[#This Row],[Shift]]&gt;0),IF(TblRecords[[#This Row],[Notes]]="HOLIDAY OVERTIME",0,_xlfn.XLOOKUP(TblRecords[[#This Row],[Payroll Year]],TblDailyPay[Year],TblDailyPay[Rate])),0)</f>
        <v>0</v>
      </c>
      <c r="K111" s="6" cm="1">
        <f t="array" ref="K111">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11" s="6" cm="1">
        <f t="array" ref="L111">_xlfn.XLOOKUP(1,(DAY(TblRecords[[#This Row],[Full Date]])=Table8[Date])*(TblRecords[[#This Row],[Payroll Year]]=Table8[Year]),Table8[Rate],_xlfn.XLOOKUP(TblRecords[[#This Row],[Full Date]],Table8[Date],Table8[Rate],0))</f>
        <v>0</v>
      </c>
      <c r="M111" s="6" t="str" cm="1">
        <f t="array" ref="M111">_xlfn.XLOOKUP(1,(DAY(TblRecords[[#This Row],[Full Date]])=Table8[Date])*(TblRecords[[#This Row],[Payroll Year]]=Table8[Year]),Table8[Type],_xlfn.XLOOKUP(TblRecords[[#This Row],[Full Date]],Table8[Date],Table8[Type],"No Deduction"))</f>
        <v>No Deduction</v>
      </c>
      <c r="N111" t="str">
        <f>IF(ISNUMBER(TblRecords[[#This Row],[Shift]]),_xlfn.XLOOKUP(TblRecords[[#This Row],[Full Date]],TblEvent[Full Date],TblEvent[Type],"ATTENDED"),"OFF")</f>
        <v>OFF</v>
      </c>
    </row>
    <row r="112" spans="1:14" x14ac:dyDescent="0.3">
      <c r="A112" s="4">
        <v>111</v>
      </c>
      <c r="B112" s="4">
        <v>2026</v>
      </c>
      <c r="C112" s="8" t="str" cm="1">
        <f t="array" ref="C112">TEXT(D112 - Table7[End Period Date], "MMMM")</f>
        <v>February</v>
      </c>
      <c r="D112" s="2">
        <v>46092</v>
      </c>
      <c r="E112" s="9" t="s">
        <v>6</v>
      </c>
      <c r="F112" s="5">
        <f>IF(OR(TblRecords[[#This Row],[Notes]]="OVERTIME",TblRecords[[#This Row],[Notes]]="HOLIDAY OVERTIME"),_xlfn.XLOOKUP(TblRecords[[#This Row],[Full Date]],TblEvent[Full Date],TblEvent[Hour]),0)</f>
        <v>0</v>
      </c>
      <c r="G112" s="5">
        <f>IF(OR(TblRecords[[#This Row],[Notes]]="OVERTIME",TblRecords[[#This Row],[Notes]]="HOLIDAY OVERTIME"),_xlfn.XLOOKUP(TblRecords[[#This Row],[Full Date]],TblEvent[Full Date],TblEvent[Break]),0)</f>
        <v>0</v>
      </c>
      <c r="H112" s="5">
        <f>_xlfn.XLOOKUP(TblRecords[[#This Row],[Shift]],Table6[Shift],Table6[Time],TIME(0,0,0))</f>
        <v>0</v>
      </c>
      <c r="I112" s="5" cm="1">
        <f t="array" ref="I112">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112" s="6">
        <f>IF(AND(ISNUMBER(TblRecords[[#This Row],[Shift]]),TblRecords[[#This Row],[Shift]]&gt;0),IF(TblRecords[[#This Row],[Notes]]="HOLIDAY OVERTIME",0,_xlfn.XLOOKUP(TblRecords[[#This Row],[Payroll Year]],TblDailyPay[Year],TblDailyPay[Rate])),0)</f>
        <v>0</v>
      </c>
      <c r="K112" s="6" cm="1">
        <f t="array" ref="K112">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12" s="6" cm="1">
        <f t="array" ref="L112">_xlfn.XLOOKUP(1,(DAY(TblRecords[[#This Row],[Full Date]])=Table8[Date])*(TblRecords[[#This Row],[Payroll Year]]=Table8[Year]),Table8[Rate],_xlfn.XLOOKUP(TblRecords[[#This Row],[Full Date]],Table8[Date],Table8[Rate],0))</f>
        <v>0</v>
      </c>
      <c r="M112" s="6" t="str" cm="1">
        <f t="array" ref="M112">_xlfn.XLOOKUP(1,(DAY(TblRecords[[#This Row],[Full Date]])=Table8[Date])*(TblRecords[[#This Row],[Payroll Year]]=Table8[Year]),Table8[Type],_xlfn.XLOOKUP(TblRecords[[#This Row],[Full Date]],Table8[Date],Table8[Type],"No Deduction"))</f>
        <v>No Deduction</v>
      </c>
      <c r="N112" t="str">
        <f>IF(ISNUMBER(TblRecords[[#This Row],[Shift]]),_xlfn.XLOOKUP(TblRecords[[#This Row],[Full Date]],TblEvent[Full Date],TblEvent[Type],"ATTENDED"),"OFF")</f>
        <v>OFF</v>
      </c>
    </row>
    <row r="113" spans="1:14" x14ac:dyDescent="0.3">
      <c r="A113" s="4">
        <v>112</v>
      </c>
      <c r="B113" s="4">
        <v>2026</v>
      </c>
      <c r="C113" s="8" t="str" cm="1">
        <f t="array" ref="C113">TEXT(D113 - Table7[End Period Date], "MMMM")</f>
        <v>February</v>
      </c>
      <c r="D113" s="2">
        <v>46093</v>
      </c>
      <c r="E113" s="9">
        <v>2</v>
      </c>
      <c r="F113" s="5">
        <f>IF(OR(TblRecords[[#This Row],[Notes]]="OVERTIME",TblRecords[[#This Row],[Notes]]="HOLIDAY OVERTIME"),_xlfn.XLOOKUP(TblRecords[[#This Row],[Full Date]],TblEvent[Full Date],TblEvent[Hour]),0)</f>
        <v>0</v>
      </c>
      <c r="G113" s="5">
        <f>IF(OR(TblRecords[[#This Row],[Notes]]="OVERTIME",TblRecords[[#This Row],[Notes]]="HOLIDAY OVERTIME"),_xlfn.XLOOKUP(TblRecords[[#This Row],[Full Date]],TblEvent[Full Date],TblEvent[Break]),0)</f>
        <v>0</v>
      </c>
      <c r="H113" s="5">
        <f>_xlfn.XLOOKUP(TblRecords[[#This Row],[Shift]],Table6[Shift],Table6[Time],TIME(0,0,0))</f>
        <v>0.58333333333333337</v>
      </c>
      <c r="I113" s="5" cm="1">
        <f t="array" ref="I113">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113" s="6">
        <f>IF(AND(ISNUMBER(TblRecords[[#This Row],[Shift]]),TblRecords[[#This Row],[Shift]]&gt;0),IF(TblRecords[[#This Row],[Notes]]="HOLIDAY OVERTIME",0,_xlfn.XLOOKUP(TblRecords[[#This Row],[Payroll Year]],TblDailyPay[Year],TblDailyPay[Rate])),0)</f>
        <v>133640</v>
      </c>
      <c r="K113" s="6" cm="1">
        <f t="array" ref="K113">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13" s="6" cm="1">
        <f t="array" ref="L113">_xlfn.XLOOKUP(1,(DAY(TblRecords[[#This Row],[Full Date]])=Table8[Date])*(TblRecords[[#This Row],[Payroll Year]]=Table8[Year]),Table8[Rate],_xlfn.XLOOKUP(TblRecords[[#This Row],[Full Date]],Table8[Date],Table8[Rate],0))</f>
        <v>0</v>
      </c>
      <c r="M113" s="6" t="str" cm="1">
        <f t="array" ref="M113">_xlfn.XLOOKUP(1,(DAY(TblRecords[[#This Row],[Full Date]])=Table8[Date])*(TblRecords[[#This Row],[Payroll Year]]=Table8[Year]),Table8[Type],_xlfn.XLOOKUP(TblRecords[[#This Row],[Full Date]],Table8[Date],Table8[Type],"No Deduction"))</f>
        <v>No Deduction</v>
      </c>
      <c r="N113" t="str">
        <f>IF(ISNUMBER(TblRecords[[#This Row],[Shift]]),_xlfn.XLOOKUP(TblRecords[[#This Row],[Full Date]],TblEvent[Full Date],TblEvent[Type],"ATTENDED"),"OFF")</f>
        <v>ATTENDED</v>
      </c>
    </row>
    <row r="114" spans="1:14" x14ac:dyDescent="0.3">
      <c r="A114" s="4">
        <v>113</v>
      </c>
      <c r="B114" s="4">
        <v>2026</v>
      </c>
      <c r="C114" s="8" t="str" cm="1">
        <f t="array" ref="C114">TEXT(D114 - Table7[End Period Date], "MMMM")</f>
        <v>February</v>
      </c>
      <c r="D114" s="2">
        <v>46094</v>
      </c>
      <c r="E114" s="9">
        <v>2</v>
      </c>
      <c r="F114" s="5">
        <f>IF(OR(TblRecords[[#This Row],[Notes]]="OVERTIME",TblRecords[[#This Row],[Notes]]="HOLIDAY OVERTIME"),_xlfn.XLOOKUP(TblRecords[[#This Row],[Full Date]],TblEvent[Full Date],TblEvent[Hour]),0)</f>
        <v>0</v>
      </c>
      <c r="G114" s="5">
        <f>IF(OR(TblRecords[[#This Row],[Notes]]="OVERTIME",TblRecords[[#This Row],[Notes]]="HOLIDAY OVERTIME"),_xlfn.XLOOKUP(TblRecords[[#This Row],[Full Date]],TblEvent[Full Date],TblEvent[Break]),0)</f>
        <v>0</v>
      </c>
      <c r="H114" s="5">
        <f>_xlfn.XLOOKUP(TblRecords[[#This Row],[Shift]],Table6[Shift],Table6[Time],TIME(0,0,0))</f>
        <v>0.58333333333333337</v>
      </c>
      <c r="I114" s="5" cm="1">
        <f t="array" ref="I114">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114" s="6">
        <f>IF(AND(ISNUMBER(TblRecords[[#This Row],[Shift]]),TblRecords[[#This Row],[Shift]]&gt;0),IF(TblRecords[[#This Row],[Notes]]="HOLIDAY OVERTIME",0,_xlfn.XLOOKUP(TblRecords[[#This Row],[Payroll Year]],TblDailyPay[Year],TblDailyPay[Rate])),0)</f>
        <v>133640</v>
      </c>
      <c r="K114" s="6" cm="1">
        <f t="array" ref="K114">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14" s="6" cm="1">
        <f t="array" ref="L114">_xlfn.XLOOKUP(1,(DAY(TblRecords[[#This Row],[Full Date]])=Table8[Date])*(TblRecords[[#This Row],[Payroll Year]]=Table8[Year]),Table8[Rate],_xlfn.XLOOKUP(TblRecords[[#This Row],[Full Date]],Table8[Date],Table8[Rate],0))</f>
        <v>0</v>
      </c>
      <c r="M114" s="6" t="str" cm="1">
        <f t="array" ref="M114">_xlfn.XLOOKUP(1,(DAY(TblRecords[[#This Row],[Full Date]])=Table8[Date])*(TblRecords[[#This Row],[Payroll Year]]=Table8[Year]),Table8[Type],_xlfn.XLOOKUP(TblRecords[[#This Row],[Full Date]],Table8[Date],Table8[Type],"No Deduction"))</f>
        <v>No Deduction</v>
      </c>
      <c r="N114" t="str">
        <f>IF(ISNUMBER(TblRecords[[#This Row],[Shift]]),_xlfn.XLOOKUP(TblRecords[[#This Row],[Full Date]],TblEvent[Full Date],TblEvent[Type],"ATTENDED"),"OFF")</f>
        <v>ATTENDED</v>
      </c>
    </row>
    <row r="115" spans="1:14" x14ac:dyDescent="0.3">
      <c r="A115" s="4">
        <v>114</v>
      </c>
      <c r="B115" s="4">
        <v>2026</v>
      </c>
      <c r="C115" s="8" t="str" cm="1">
        <f t="array" ref="C115">TEXT(D115 - Table7[End Period Date], "MMMM")</f>
        <v>February</v>
      </c>
      <c r="D115" s="2">
        <v>46095</v>
      </c>
      <c r="E115" s="9">
        <v>2</v>
      </c>
      <c r="F115" s="5">
        <f>IF(OR(TblRecords[[#This Row],[Notes]]="OVERTIME",TblRecords[[#This Row],[Notes]]="HOLIDAY OVERTIME"),_xlfn.XLOOKUP(TblRecords[[#This Row],[Full Date]],TblEvent[Full Date],TblEvent[Hour]),0)</f>
        <v>0</v>
      </c>
      <c r="G115" s="5">
        <f>IF(OR(TblRecords[[#This Row],[Notes]]="OVERTIME",TblRecords[[#This Row],[Notes]]="HOLIDAY OVERTIME"),_xlfn.XLOOKUP(TblRecords[[#This Row],[Full Date]],TblEvent[Full Date],TblEvent[Break]),0)</f>
        <v>0</v>
      </c>
      <c r="H115" s="5">
        <f>_xlfn.XLOOKUP(TblRecords[[#This Row],[Shift]],Table6[Shift],Table6[Time],TIME(0,0,0))</f>
        <v>0.58333333333333337</v>
      </c>
      <c r="I115" s="5" cm="1">
        <f t="array" ref="I115">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115" s="6">
        <f>IF(AND(ISNUMBER(TblRecords[[#This Row],[Shift]]),TblRecords[[#This Row],[Shift]]&gt;0),IF(TblRecords[[#This Row],[Notes]]="HOLIDAY OVERTIME",0,_xlfn.XLOOKUP(TblRecords[[#This Row],[Payroll Year]],TblDailyPay[Year],TblDailyPay[Rate])),0)</f>
        <v>133640</v>
      </c>
      <c r="K115" s="6" cm="1">
        <f t="array" ref="K115">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15" s="6" cm="1">
        <f t="array" ref="L115">_xlfn.XLOOKUP(1,(DAY(TblRecords[[#This Row],[Full Date]])=Table8[Date])*(TblRecords[[#This Row],[Payroll Year]]=Table8[Year]),Table8[Rate],_xlfn.XLOOKUP(TblRecords[[#This Row],[Full Date]],Table8[Date],Table8[Rate],0))</f>
        <v>0</v>
      </c>
      <c r="M115" s="6" t="str" cm="1">
        <f t="array" ref="M115">_xlfn.XLOOKUP(1,(DAY(TblRecords[[#This Row],[Full Date]])=Table8[Date])*(TblRecords[[#This Row],[Payroll Year]]=Table8[Year]),Table8[Type],_xlfn.XLOOKUP(TblRecords[[#This Row],[Full Date]],Table8[Date],Table8[Type],"No Deduction"))</f>
        <v>No Deduction</v>
      </c>
      <c r="N115" t="str">
        <f>IF(ISNUMBER(TblRecords[[#This Row],[Shift]]),_xlfn.XLOOKUP(TblRecords[[#This Row],[Full Date]],TblEvent[Full Date],TblEvent[Type],"ATTENDED"),"OFF")</f>
        <v>ATTENDED</v>
      </c>
    </row>
    <row r="116" spans="1:14" x14ac:dyDescent="0.3">
      <c r="A116" s="4">
        <v>115</v>
      </c>
      <c r="B116" s="4">
        <v>2026</v>
      </c>
      <c r="C116" s="8" t="str" cm="1">
        <f t="array" ref="C116">TEXT(D116 - Table7[End Period Date], "MMMM")</f>
        <v>February</v>
      </c>
      <c r="D116" s="2">
        <v>46096</v>
      </c>
      <c r="E116" s="9">
        <v>2</v>
      </c>
      <c r="F116" s="5">
        <f>IF(OR(TblRecords[[#This Row],[Notes]]="OVERTIME",TblRecords[[#This Row],[Notes]]="HOLIDAY OVERTIME"),_xlfn.XLOOKUP(TblRecords[[#This Row],[Full Date]],TblEvent[Full Date],TblEvent[Hour]),0)</f>
        <v>0</v>
      </c>
      <c r="G116" s="5">
        <f>IF(OR(TblRecords[[#This Row],[Notes]]="OVERTIME",TblRecords[[#This Row],[Notes]]="HOLIDAY OVERTIME"),_xlfn.XLOOKUP(TblRecords[[#This Row],[Full Date]],TblEvent[Full Date],TblEvent[Break]),0)</f>
        <v>0</v>
      </c>
      <c r="H116" s="5">
        <f>_xlfn.XLOOKUP(TblRecords[[#This Row],[Shift]],Table6[Shift],Table6[Time],TIME(0,0,0))</f>
        <v>0.58333333333333337</v>
      </c>
      <c r="I116" s="5" cm="1">
        <f t="array" ref="I116">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0.9375</v>
      </c>
      <c r="J116" s="6">
        <f>IF(AND(ISNUMBER(TblRecords[[#This Row],[Shift]]),TblRecords[[#This Row],[Shift]]&gt;0),IF(TblRecords[[#This Row],[Notes]]="HOLIDAY OVERTIME",0,_xlfn.XLOOKUP(TblRecords[[#This Row],[Payroll Year]],TblDailyPay[Year],TblDailyPay[Rate])),0)</f>
        <v>133640</v>
      </c>
      <c r="K116" s="6" cm="1">
        <f t="array" ref="K116">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116" s="6" cm="1">
        <f t="array" ref="L116">_xlfn.XLOOKUP(1,(DAY(TblRecords[[#This Row],[Full Date]])=Table8[Date])*(TblRecords[[#This Row],[Payroll Year]]=Table8[Year]),Table8[Rate],_xlfn.XLOOKUP(TblRecords[[#This Row],[Full Date]],Table8[Date],Table8[Rate],0))</f>
        <v>0</v>
      </c>
      <c r="M116" s="6" t="str" cm="1">
        <f t="array" ref="M116">_xlfn.XLOOKUP(1,(DAY(TblRecords[[#This Row],[Full Date]])=Table8[Date])*(TblRecords[[#This Row],[Payroll Year]]=Table8[Year]),Table8[Type],_xlfn.XLOOKUP(TblRecords[[#This Row],[Full Date]],Table8[Date],Table8[Type],"No Deduction"))</f>
        <v>No Deduction</v>
      </c>
      <c r="N116" t="str">
        <f>IF(ISNUMBER(TblRecords[[#This Row],[Shift]]),_xlfn.XLOOKUP(TblRecords[[#This Row],[Full Date]],TblEvent[Full Date],TblEvent[Type],"ATTENDED"),"OFF")</f>
        <v>ATTENDED</v>
      </c>
    </row>
    <row r="305" spans="15:15" x14ac:dyDescent="0.3">
      <c r="O305" s="7"/>
    </row>
    <row r="346" spans="16:16" x14ac:dyDescent="0.3">
      <c r="P346" s="16"/>
    </row>
  </sheetData>
  <phoneticPr fontId="1" type="noConversion"/>
  <pageMargins left="0.7" right="0.7" top="0.75" bottom="0.75" header="0.3" footer="0.3"/>
  <pageSetup orientation="portrait" r:id="rId1"/>
  <ignoredErrors>
    <ignoredError sqref="C2" calculatedColumn="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64AE-C3B0-4716-B328-E94B155D5DA0}">
  <dimension ref="A1:M39"/>
  <sheetViews>
    <sheetView topLeftCell="C1" zoomScaleNormal="100" workbookViewId="0">
      <selection activeCell="F11" sqref="F11"/>
    </sheetView>
  </sheetViews>
  <sheetFormatPr defaultRowHeight="14.4" x14ac:dyDescent="0.3"/>
  <cols>
    <col min="1" max="1" width="12.88671875" bestFit="1" customWidth="1"/>
    <col min="2" max="2" width="16.6640625" bestFit="1" customWidth="1"/>
    <col min="3" max="3" width="8.77734375" bestFit="1" customWidth="1"/>
    <col min="4" max="4" width="4.88671875" customWidth="1"/>
    <col min="5" max="5" width="13.88671875" bestFit="1" customWidth="1"/>
    <col min="6" max="6" width="18.33203125" bestFit="1" customWidth="1"/>
    <col min="7" max="7" width="15.6640625" style="7" bestFit="1" customWidth="1"/>
    <col min="8" max="8" width="17.21875" bestFit="1" customWidth="1"/>
    <col min="9" max="9" width="15.6640625" bestFit="1" customWidth="1"/>
    <col min="10" max="10" width="13.77734375" bestFit="1" customWidth="1"/>
    <col min="11" max="15" width="14" bestFit="1" customWidth="1"/>
    <col min="16" max="16" width="7.77734375" bestFit="1" customWidth="1"/>
    <col min="17" max="18" width="14" bestFit="1" customWidth="1"/>
    <col min="19" max="19" width="14.88671875" bestFit="1" customWidth="1"/>
  </cols>
  <sheetData>
    <row r="1" spans="1:13" x14ac:dyDescent="0.3">
      <c r="A1" t="s">
        <v>23</v>
      </c>
      <c r="B1" t="s">
        <v>22</v>
      </c>
      <c r="C1" s="13" t="s">
        <v>27</v>
      </c>
      <c r="E1" t="s">
        <v>24</v>
      </c>
      <c r="F1" t="s">
        <v>44</v>
      </c>
      <c r="G1" t="s">
        <v>54</v>
      </c>
      <c r="J1" s="10" t="s">
        <v>12</v>
      </c>
      <c r="K1" t="s">
        <v>32</v>
      </c>
      <c r="M1">
        <f>IFERROR(GETPIVOTDATA("Notes",$J$1,"Notes","ATTENDED"),0)</f>
        <v>74</v>
      </c>
    </row>
    <row r="2" spans="1:13" x14ac:dyDescent="0.3">
      <c r="A2" s="45">
        <v>115</v>
      </c>
      <c r="B2" s="45">
        <v>78</v>
      </c>
      <c r="C2">
        <f>GETPIVOTDATA("Calender Days",$A$1)-GETPIVOTDATA("Total Working Days",$A$1)</f>
        <v>37</v>
      </c>
      <c r="E2" s="7">
        <v>9038500</v>
      </c>
      <c r="F2" s="7">
        <v>237927</v>
      </c>
      <c r="G2" s="7">
        <v>-455290</v>
      </c>
      <c r="J2" s="11" t="s">
        <v>30</v>
      </c>
      <c r="K2" s="45">
        <v>74</v>
      </c>
      <c r="M2">
        <f>IFERROR(GETPIVOTDATA("Notes",$J$1,"Notes","OFF"),0)</f>
        <v>37</v>
      </c>
    </row>
    <row r="3" spans="1:13" x14ac:dyDescent="0.3">
      <c r="G3"/>
      <c r="H3" s="7">
        <f>GETPIVOTDATA("Sum of Deduction",$E$1)</f>
        <v>-455290</v>
      </c>
      <c r="J3" s="11" t="s">
        <v>6</v>
      </c>
      <c r="K3" s="45">
        <v>37</v>
      </c>
      <c r="M3">
        <f>IFERROR(GETPIVOTDATA("Notes",$J$1,"Notes","OVERTIME"),0)</f>
        <v>0</v>
      </c>
    </row>
    <row r="4" spans="1:13" x14ac:dyDescent="0.3">
      <c r="A4" s="10" t="s">
        <v>12</v>
      </c>
      <c r="B4" t="s">
        <v>21</v>
      </c>
      <c r="E4" s="13" t="s">
        <v>25</v>
      </c>
      <c r="F4" s="13" t="s">
        <v>26</v>
      </c>
      <c r="G4"/>
      <c r="J4" s="11" t="s">
        <v>8</v>
      </c>
      <c r="K4" s="45">
        <v>2</v>
      </c>
      <c r="M4">
        <f>IFERROR(GETPIVOTDATA("Notes",$J$1,"Notes","HOLIDAY OVERTIME"),0)</f>
        <v>2</v>
      </c>
    </row>
    <row r="5" spans="1:13" x14ac:dyDescent="0.3">
      <c r="A5" s="11" t="s">
        <v>14</v>
      </c>
      <c r="B5" s="45">
        <v>27</v>
      </c>
      <c r="E5" s="7">
        <f>GETPIVOTDATA("Total Daily Pay",$E$1)++GETPIVOTDATA("Sum of Overtime Pay",$E$1)</f>
        <v>9276427</v>
      </c>
      <c r="F5" s="7">
        <f>E5+GETPIVOTDATA("Sum of Deduction",$E$1)</f>
        <v>8821137</v>
      </c>
      <c r="G5"/>
      <c r="J5" s="11" t="s">
        <v>42</v>
      </c>
      <c r="K5" s="45">
        <v>2</v>
      </c>
    </row>
    <row r="6" spans="1:13" x14ac:dyDescent="0.3">
      <c r="A6" s="12" t="s">
        <v>19</v>
      </c>
      <c r="B6" s="45">
        <v>4</v>
      </c>
      <c r="E6" s="7"/>
      <c r="F6" s="7"/>
      <c r="G6"/>
      <c r="J6" s="11" t="s">
        <v>13</v>
      </c>
      <c r="K6" s="45">
        <v>115</v>
      </c>
    </row>
    <row r="7" spans="1:13" x14ac:dyDescent="0.3">
      <c r="A7" s="12" t="s">
        <v>20</v>
      </c>
      <c r="B7" s="45">
        <v>23</v>
      </c>
      <c r="E7" s="10" t="s">
        <v>12</v>
      </c>
      <c r="F7" t="s">
        <v>29</v>
      </c>
      <c r="G7"/>
    </row>
    <row r="8" spans="1:13" x14ac:dyDescent="0.3">
      <c r="A8" s="11" t="s">
        <v>15</v>
      </c>
      <c r="B8" s="45">
        <v>51</v>
      </c>
      <c r="E8" s="11" t="s">
        <v>9</v>
      </c>
      <c r="F8" s="7">
        <v>2910727</v>
      </c>
    </row>
    <row r="9" spans="1:13" x14ac:dyDescent="0.3">
      <c r="A9" s="12" t="s">
        <v>16</v>
      </c>
      <c r="B9" s="45">
        <v>18</v>
      </c>
      <c r="E9" s="11" t="s">
        <v>10</v>
      </c>
      <c r="F9" s="7">
        <v>2405520</v>
      </c>
    </row>
    <row r="10" spans="1:13" x14ac:dyDescent="0.3">
      <c r="A10" s="12" t="s">
        <v>17</v>
      </c>
      <c r="B10" s="45">
        <v>22</v>
      </c>
      <c r="E10" s="11" t="s">
        <v>66</v>
      </c>
      <c r="F10" s="7">
        <v>1870085</v>
      </c>
    </row>
    <row r="11" spans="1:13" x14ac:dyDescent="0.3">
      <c r="A11" s="12" t="s">
        <v>18</v>
      </c>
      <c r="B11" s="45">
        <v>11</v>
      </c>
      <c r="E11" s="11" t="s">
        <v>67</v>
      </c>
      <c r="F11" s="7">
        <v>2090095</v>
      </c>
      <c r="J11" t="s">
        <v>33</v>
      </c>
    </row>
    <row r="12" spans="1:13" x14ac:dyDescent="0.3">
      <c r="A12" s="11" t="s">
        <v>13</v>
      </c>
      <c r="B12" s="45">
        <v>78</v>
      </c>
      <c r="J12" s="14">
        <v>2.0384615384615383</v>
      </c>
    </row>
    <row r="20" spans="5:9" x14ac:dyDescent="0.3">
      <c r="E20" t="s">
        <v>29</v>
      </c>
      <c r="G20"/>
    </row>
    <row r="21" spans="5:9" x14ac:dyDescent="0.3">
      <c r="E21" s="7">
        <v>9276427</v>
      </c>
      <c r="F21" s="7">
        <f>GETPIVOTDATA("Net Salary",$E$20)</f>
        <v>9276427</v>
      </c>
      <c r="G21"/>
    </row>
    <row r="22" spans="5:9" x14ac:dyDescent="0.3">
      <c r="E22" s="10" t="s">
        <v>12</v>
      </c>
      <c r="F22" t="s">
        <v>54</v>
      </c>
      <c r="G22"/>
      <c r="H22" s="10" t="s">
        <v>12</v>
      </c>
      <c r="I22" t="s">
        <v>54</v>
      </c>
    </row>
    <row r="23" spans="5:9" x14ac:dyDescent="0.3">
      <c r="E23" s="11" t="s">
        <v>49</v>
      </c>
      <c r="F23" s="7">
        <v>-220010</v>
      </c>
      <c r="G23" s="7">
        <f>GETPIVOTDATA("Deduction",$H$22)*-1</f>
        <v>455290</v>
      </c>
      <c r="H23" s="11" t="s">
        <v>49</v>
      </c>
      <c r="I23" s="7">
        <v>-220010</v>
      </c>
    </row>
    <row r="24" spans="5:9" x14ac:dyDescent="0.3">
      <c r="E24" s="11" t="s">
        <v>50</v>
      </c>
      <c r="F24" s="7">
        <v>-117640</v>
      </c>
      <c r="G24"/>
      <c r="H24" s="11" t="s">
        <v>50</v>
      </c>
      <c r="I24" s="7">
        <v>-117640</v>
      </c>
    </row>
    <row r="25" spans="5:9" x14ac:dyDescent="0.3">
      <c r="E25" s="11" t="s">
        <v>51</v>
      </c>
      <c r="F25" s="7">
        <v>-117640</v>
      </c>
      <c r="G25"/>
      <c r="H25" s="11" t="s">
        <v>51</v>
      </c>
      <c r="I25" s="7">
        <v>-117640</v>
      </c>
    </row>
    <row r="26" spans="5:9" x14ac:dyDescent="0.3">
      <c r="E26" s="11" t="s">
        <v>13</v>
      </c>
      <c r="F26" s="7">
        <v>-455290</v>
      </c>
      <c r="G26"/>
      <c r="H26" s="11" t="s">
        <v>13</v>
      </c>
      <c r="I26" s="7">
        <v>-455290</v>
      </c>
    </row>
    <row r="27" spans="5:9" x14ac:dyDescent="0.3">
      <c r="G27"/>
    </row>
    <row r="28" spans="5:9" x14ac:dyDescent="0.3">
      <c r="G28"/>
    </row>
    <row r="29" spans="5:9" x14ac:dyDescent="0.3">
      <c r="G29"/>
    </row>
    <row r="30" spans="5:9" x14ac:dyDescent="0.3">
      <c r="G30"/>
    </row>
    <row r="31" spans="5:9" x14ac:dyDescent="0.3">
      <c r="G31"/>
    </row>
    <row r="32" spans="5:9" x14ac:dyDescent="0.3">
      <c r="G32"/>
    </row>
    <row r="33" spans="7:7" x14ac:dyDescent="0.3">
      <c r="G33"/>
    </row>
    <row r="34" spans="7:7" x14ac:dyDescent="0.3">
      <c r="G34"/>
    </row>
    <row r="35" spans="7:7" x14ac:dyDescent="0.3">
      <c r="G35"/>
    </row>
    <row r="36" spans="7:7" x14ac:dyDescent="0.3">
      <c r="G36"/>
    </row>
    <row r="37" spans="7:7" x14ac:dyDescent="0.3">
      <c r="G37"/>
    </row>
    <row r="38" spans="7:7" x14ac:dyDescent="0.3">
      <c r="G38"/>
    </row>
    <row r="39" spans="7:7" x14ac:dyDescent="0.3">
      <c r="G39"/>
    </row>
  </sheetData>
  <pageMargins left="0.7" right="0.7" top="0.75" bottom="0.75" header="0.3" footer="0.3"/>
  <pageSetup orientation="portrait"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DF527-2D2E-4872-B8CE-7C59DD9C1737}">
  <sheetPr>
    <pageSetUpPr fitToPage="1"/>
  </sheetPr>
  <dimension ref="A1"/>
  <sheetViews>
    <sheetView showGridLines="0" tabSelected="1" zoomScale="85" zoomScaleNormal="85" workbookViewId="0">
      <selection activeCell="V22" sqref="V22"/>
    </sheetView>
  </sheetViews>
  <sheetFormatPr defaultRowHeight="14.4" x14ac:dyDescent="0.3"/>
  <sheetData/>
  <pageMargins left="0.7" right="0.7" top="0.75" bottom="0.75" header="0.3" footer="0.3"/>
  <pageSetup scale="65"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9C97A-D6F0-4D0E-90ED-025C1B3A5354}">
  <sheetPr>
    <pageSetUpPr fitToPage="1"/>
  </sheetPr>
  <dimension ref="A1:P49"/>
  <sheetViews>
    <sheetView zoomScale="85" zoomScaleNormal="85" workbookViewId="0">
      <selection activeCell="J19" sqref="J19"/>
    </sheetView>
  </sheetViews>
  <sheetFormatPr defaultRowHeight="14.4" x14ac:dyDescent="0.3"/>
  <cols>
    <col min="1" max="1" width="3.77734375" style="18" customWidth="1"/>
    <col min="2" max="2" width="10.33203125" style="19" bestFit="1" customWidth="1"/>
    <col min="3" max="3" width="10.6640625" style="18" bestFit="1" customWidth="1"/>
    <col min="4" max="4" width="10.33203125" style="21" bestFit="1" customWidth="1"/>
    <col min="5" max="5" width="9.33203125" style="18" bestFit="1" customWidth="1"/>
    <col min="6" max="7" width="10.77734375" customWidth="1"/>
    <col min="8" max="8" width="9.77734375" bestFit="1" customWidth="1"/>
  </cols>
  <sheetData>
    <row r="1" spans="1:16" x14ac:dyDescent="0.3">
      <c r="A1" s="38" t="s">
        <v>65</v>
      </c>
      <c r="B1" s="38"/>
      <c r="C1" s="38"/>
      <c r="D1" s="38"/>
      <c r="E1" s="38"/>
      <c r="F1" s="38"/>
      <c r="G1" s="38"/>
      <c r="H1" s="38"/>
      <c r="I1" s="38"/>
    </row>
    <row r="2" spans="1:16" x14ac:dyDescent="0.3">
      <c r="A2" s="38"/>
      <c r="B2" s="38"/>
      <c r="C2" s="38"/>
      <c r="D2" s="38"/>
      <c r="E2" s="38"/>
      <c r="F2" s="38"/>
      <c r="G2" s="38"/>
      <c r="H2" s="38"/>
      <c r="I2" s="38"/>
    </row>
    <row r="3" spans="1:16" x14ac:dyDescent="0.3">
      <c r="A3" s="36" t="s">
        <v>59</v>
      </c>
      <c r="B3" s="36"/>
      <c r="C3" s="11">
        <f>Table7[[#This Row],[Start Period Date]]</f>
        <v>21</v>
      </c>
      <c r="D3" s="28" t="s">
        <v>9</v>
      </c>
      <c r="E3" s="11">
        <v>2026</v>
      </c>
      <c r="F3" s="11" t="s">
        <v>60</v>
      </c>
      <c r="G3" s="11">
        <f>Table7[[#This Row],[End Period Date]]</f>
        <v>20</v>
      </c>
      <c r="H3" s="28">
        <f>EDATE(B7,1)</f>
        <v>46074</v>
      </c>
      <c r="I3" s="11">
        <v>2026</v>
      </c>
    </row>
    <row r="5" spans="1:16" x14ac:dyDescent="0.3">
      <c r="A5" s="35" t="s">
        <v>5</v>
      </c>
      <c r="B5" s="34" t="s">
        <v>11</v>
      </c>
      <c r="C5" s="35" t="s">
        <v>68</v>
      </c>
      <c r="D5" s="34" t="s">
        <v>63</v>
      </c>
      <c r="E5" s="34"/>
      <c r="F5" s="35" t="s">
        <v>31</v>
      </c>
      <c r="G5" s="35"/>
    </row>
    <row r="6" spans="1:16" x14ac:dyDescent="0.3">
      <c r="A6" s="35"/>
      <c r="B6" s="34"/>
      <c r="C6" s="35"/>
      <c r="D6" s="22" t="s">
        <v>69</v>
      </c>
      <c r="E6" s="20" t="s">
        <v>70</v>
      </c>
      <c r="F6" s="35"/>
      <c r="G6" s="35"/>
    </row>
    <row r="7" spans="1:16" x14ac:dyDescent="0.3">
      <c r="A7" s="23" cm="1">
        <f t="array" ref="A7:A37">_xlfn.SEQUENCE(COUNTA(_xlfn.ANCHORARRAY(B7)))</f>
        <v>1</v>
      </c>
      <c r="B7" s="24" cm="1">
        <f t="array" ref="B7:B37">_xlfn._xlws.FILTER(TblRecords[Full Date],(TblRecords[Payroll Month]=D3)*(TblRecords[Payroll Year]=E3),0)</f>
        <v>46043</v>
      </c>
      <c r="C7" s="23" t="str">
        <f>IF(ISBLANK(B7),"",TEXT(B7,"dddd"))</f>
        <v>Wednesday</v>
      </c>
      <c r="D7" s="25" t="str">
        <f>IF(ISBLANK(B7),"",IF(_xlfn.XLOOKUP(B7,TblRecords[Full Date],TblRecords[Start Time])=TIME(0,0,0),"OFF",_xlfn.XLOOKUP(B7,TblRecords[Full Date],TblRecords[Start Time])))</f>
        <v>OFF</v>
      </c>
      <c r="E7" s="25" t="str">
        <f>IF(ISBLANK(B7),"",IF(_xlfn.XLOOKUP(B7,TblRecords[Full Date],TblRecords[End Time])=TIME(0,0,0),"OFF",_xlfn.XLOOKUP(B7,TblRecords[Full Date],TblRecords[End Time])))</f>
        <v>OFF</v>
      </c>
      <c r="F7" s="37" t="str">
        <f>_xlfn.XLOOKUP(B7,TblRecords[Full Date],TblRecords[Notes],"Not Found")</f>
        <v>SICK</v>
      </c>
      <c r="G7" s="37"/>
    </row>
    <row r="8" spans="1:16" x14ac:dyDescent="0.3">
      <c r="A8" s="23">
        <v>2</v>
      </c>
      <c r="B8" s="24">
        <v>46044</v>
      </c>
      <c r="C8" s="23" t="str">
        <f t="shared" ref="C8:C38" si="0">IF(ISBLANK(B8),"",TEXT(B8,"dddd"))</f>
        <v>Thursday</v>
      </c>
      <c r="D8" s="25" t="str">
        <f>IF(ISBLANK(B8),"",IF(_xlfn.XLOOKUP(B8,TblRecords[Full Date],TblRecords[Start Time])=TIME(0,0,0),"OFF",_xlfn.XLOOKUP(B8,TblRecords[Full Date],TblRecords[Start Time])))</f>
        <v>OFF</v>
      </c>
      <c r="E8" s="25" t="str">
        <f>IF(ISBLANK(B8),"",IF(_xlfn.XLOOKUP(B8,TblRecords[Full Date],TblRecords[End Time])=TIME(0,0,0),"OFF",_xlfn.XLOOKUP(B8,TblRecords[Full Date],TblRecords[End Time])))</f>
        <v>OFF</v>
      </c>
      <c r="F8" s="37" t="str">
        <f>_xlfn.XLOOKUP(B8,TblRecords[Full Date],TblRecords[Notes],"Not Found")</f>
        <v>OFF</v>
      </c>
      <c r="G8" s="37"/>
    </row>
    <row r="9" spans="1:16" x14ac:dyDescent="0.3">
      <c r="A9" s="23">
        <v>3</v>
      </c>
      <c r="B9" s="24">
        <v>46045</v>
      </c>
      <c r="C9" s="23" t="str">
        <f t="shared" si="0"/>
        <v>Friday</v>
      </c>
      <c r="D9" s="25" t="str">
        <f>IF(ISBLANK(B9),"",IF(_xlfn.XLOOKUP(B9,TblRecords[Full Date],TblRecords[Start Time])=TIME(0,0,0),"OFF",_xlfn.XLOOKUP(B9,TblRecords[Full Date],TblRecords[Start Time])))</f>
        <v>OFF</v>
      </c>
      <c r="E9" s="25" t="str">
        <f>IF(ISBLANK(B9),"",IF(_xlfn.XLOOKUP(B9,TblRecords[Full Date],TblRecords[End Time])=TIME(0,0,0),"OFF",_xlfn.XLOOKUP(B9,TblRecords[Full Date],TblRecords[End Time])))</f>
        <v>OFF</v>
      </c>
      <c r="F9" s="37" t="str">
        <f>_xlfn.XLOOKUP(B9,TblRecords[Full Date],TblRecords[Notes],"Not Found")</f>
        <v>OFF</v>
      </c>
      <c r="G9" s="37"/>
    </row>
    <row r="10" spans="1:16" x14ac:dyDescent="0.3">
      <c r="A10" s="23">
        <v>4</v>
      </c>
      <c r="B10" s="24">
        <v>46046</v>
      </c>
      <c r="C10" s="23" t="str">
        <f t="shared" si="0"/>
        <v>Saturday</v>
      </c>
      <c r="D10" s="25">
        <f>IF(ISBLANK(B10),"",IF(_xlfn.XLOOKUP(B10,TblRecords[Full Date],TblRecords[Start Time])=TIME(0,0,0),"OFF",_xlfn.XLOOKUP(B10,TblRecords[Full Date],TblRecords[Start Time])))</f>
        <v>0.91666666666666663</v>
      </c>
      <c r="E10" s="25">
        <f>IF(ISBLANK(B10),"",IF(_xlfn.XLOOKUP(B10,TblRecords[Full Date],TblRecords[End Time])=TIME(0,0,0),"OFF",_xlfn.XLOOKUP(B10,TblRecords[Full Date],TblRecords[End Time])))</f>
        <v>1.2708333333333333</v>
      </c>
      <c r="F10" s="37" t="str">
        <f>_xlfn.XLOOKUP(B10,TblRecords[Full Date],TblRecords[Notes],"Not Found")</f>
        <v>ATTENDED</v>
      </c>
      <c r="G10" s="37"/>
    </row>
    <row r="11" spans="1:16" x14ac:dyDescent="0.3">
      <c r="A11" s="23">
        <v>5</v>
      </c>
      <c r="B11" s="24">
        <v>46047</v>
      </c>
      <c r="C11" s="23" t="str">
        <f t="shared" si="0"/>
        <v>Sunday</v>
      </c>
      <c r="D11" s="25">
        <f>IF(ISBLANK(B11),"",IF(_xlfn.XLOOKUP(B11,TblRecords[Full Date],TblRecords[Start Time])=TIME(0,0,0),"OFF",_xlfn.XLOOKUP(B11,TblRecords[Full Date],TblRecords[Start Time])))</f>
        <v>0.91666666666666663</v>
      </c>
      <c r="E11" s="25">
        <f>IF(ISBLANK(B11),"",IF(_xlfn.XLOOKUP(B11,TblRecords[Full Date],TblRecords[End Time])=TIME(0,0,0),"OFF",_xlfn.XLOOKUP(B11,TblRecords[Full Date],TblRecords[End Time])))</f>
        <v>1.2708333333333333</v>
      </c>
      <c r="F11" s="37" t="str">
        <f>_xlfn.XLOOKUP(B11,TblRecords[Full Date],TblRecords[Notes],"Not Found")</f>
        <v>ATTENDED</v>
      </c>
      <c r="G11" s="37"/>
    </row>
    <row r="12" spans="1:16" x14ac:dyDescent="0.3">
      <c r="A12" s="23">
        <v>6</v>
      </c>
      <c r="B12" s="24">
        <v>46048</v>
      </c>
      <c r="C12" s="23" t="str">
        <f t="shared" si="0"/>
        <v>Monday</v>
      </c>
      <c r="D12" s="25">
        <f>IF(ISBLANK(B12),"",IF(_xlfn.XLOOKUP(B12,TblRecords[Full Date],TblRecords[Start Time])=TIME(0,0,0),"OFF",_xlfn.XLOOKUP(B12,TblRecords[Full Date],TblRecords[Start Time])))</f>
        <v>0.91666666666666663</v>
      </c>
      <c r="E12" s="25">
        <f>IF(ISBLANK(B12),"",IF(_xlfn.XLOOKUP(B12,TblRecords[Full Date],TblRecords[End Time])=TIME(0,0,0),"OFF",_xlfn.XLOOKUP(B12,TblRecords[Full Date],TblRecords[End Time])))</f>
        <v>1.2708333333333333</v>
      </c>
      <c r="F12" s="37" t="str">
        <f>_xlfn.XLOOKUP(B12,TblRecords[Full Date],TblRecords[Notes],"Not Found")</f>
        <v>ATTENDED</v>
      </c>
      <c r="G12" s="37"/>
      <c r="P12" s="16"/>
    </row>
    <row r="13" spans="1:16" x14ac:dyDescent="0.3">
      <c r="A13" s="23">
        <v>7</v>
      </c>
      <c r="B13" s="24">
        <v>46049</v>
      </c>
      <c r="C13" s="23" t="str">
        <f t="shared" si="0"/>
        <v>Tuesday</v>
      </c>
      <c r="D13" s="25">
        <f>IF(ISBLANK(B13),"",IF(_xlfn.XLOOKUP(B13,TblRecords[Full Date],TblRecords[Start Time])=TIME(0,0,0),"OFF",_xlfn.XLOOKUP(B13,TblRecords[Full Date],TblRecords[Start Time])))</f>
        <v>0.91666666666666663</v>
      </c>
      <c r="E13" s="25">
        <f>IF(ISBLANK(B13),"",IF(_xlfn.XLOOKUP(B13,TblRecords[Full Date],TblRecords[End Time])=TIME(0,0,0),"OFF",_xlfn.XLOOKUP(B13,TblRecords[Full Date],TblRecords[End Time])))</f>
        <v>1.2708333333333333</v>
      </c>
      <c r="F13" s="37" t="str">
        <f>_xlfn.XLOOKUP(B13,TblRecords[Full Date],TblRecords[Notes],"Not Found")</f>
        <v>ATTENDED</v>
      </c>
      <c r="G13" s="37"/>
    </row>
    <row r="14" spans="1:16" x14ac:dyDescent="0.3">
      <c r="A14" s="23">
        <v>8</v>
      </c>
      <c r="B14" s="24">
        <v>46050</v>
      </c>
      <c r="C14" s="23" t="str">
        <f t="shared" si="0"/>
        <v>Wednesday</v>
      </c>
      <c r="D14" s="25">
        <f>IF(ISBLANK(B14),"",IF(_xlfn.XLOOKUP(B14,TblRecords[Full Date],TblRecords[Start Time])=TIME(0,0,0),"OFF",_xlfn.XLOOKUP(B14,TblRecords[Full Date],TblRecords[Start Time])))</f>
        <v>0.91666666666666663</v>
      </c>
      <c r="E14" s="25">
        <f>IF(ISBLANK(B14),"",IF(_xlfn.XLOOKUP(B14,TblRecords[Full Date],TblRecords[End Time])=TIME(0,0,0),"OFF",_xlfn.XLOOKUP(B14,TblRecords[Full Date],TblRecords[End Time])))</f>
        <v>1.2708333333333333</v>
      </c>
      <c r="F14" s="37" t="str">
        <f>_xlfn.XLOOKUP(B14,TblRecords[Full Date],TblRecords[Notes],"Not Found")</f>
        <v>ATTENDED</v>
      </c>
      <c r="G14" s="37"/>
    </row>
    <row r="15" spans="1:16" x14ac:dyDescent="0.3">
      <c r="A15" s="23">
        <v>9</v>
      </c>
      <c r="B15" s="24">
        <v>46051</v>
      </c>
      <c r="C15" s="23" t="str">
        <f t="shared" si="0"/>
        <v>Thursday</v>
      </c>
      <c r="D15" s="25" t="str">
        <f>IF(ISBLANK(B15),"",IF(_xlfn.XLOOKUP(B15,TblRecords[Full Date],TblRecords[Start Time])=TIME(0,0,0),"OFF",_xlfn.XLOOKUP(B15,TblRecords[Full Date],TblRecords[Start Time])))</f>
        <v>OFF</v>
      </c>
      <c r="E15" s="25" t="str">
        <f>IF(ISBLANK(B15),"",IF(_xlfn.XLOOKUP(B15,TblRecords[Full Date],TblRecords[End Time])=TIME(0,0,0),"OFF",_xlfn.XLOOKUP(B15,TblRecords[Full Date],TblRecords[End Time])))</f>
        <v>OFF</v>
      </c>
      <c r="F15" s="37" t="str">
        <f>_xlfn.XLOOKUP(B15,TblRecords[Full Date],TblRecords[Notes],"Not Found")</f>
        <v>OFF</v>
      </c>
      <c r="G15" s="37"/>
    </row>
    <row r="16" spans="1:16" x14ac:dyDescent="0.3">
      <c r="A16" s="23">
        <v>10</v>
      </c>
      <c r="B16" s="24">
        <v>46052</v>
      </c>
      <c r="C16" s="23" t="str">
        <f t="shared" si="0"/>
        <v>Friday</v>
      </c>
      <c r="D16" s="25" t="str">
        <f>IF(ISBLANK(B16),"",IF(_xlfn.XLOOKUP(B16,TblRecords[Full Date],TblRecords[Start Time])=TIME(0,0,0),"OFF",_xlfn.XLOOKUP(B16,TblRecords[Full Date],TblRecords[Start Time])))</f>
        <v>OFF</v>
      </c>
      <c r="E16" s="25" t="str">
        <f>IF(ISBLANK(B16),"",IF(_xlfn.XLOOKUP(B16,TblRecords[Full Date],TblRecords[End Time])=TIME(0,0,0),"OFF",_xlfn.XLOOKUP(B16,TblRecords[Full Date],TblRecords[End Time])))</f>
        <v>OFF</v>
      </c>
      <c r="F16" s="37" t="str">
        <f>_xlfn.XLOOKUP(B16,TblRecords[Full Date],TblRecords[Notes],"Not Found")</f>
        <v>OFF</v>
      </c>
      <c r="G16" s="37"/>
    </row>
    <row r="17" spans="1:7" x14ac:dyDescent="0.3">
      <c r="A17" s="23">
        <v>11</v>
      </c>
      <c r="B17" s="24">
        <v>46053</v>
      </c>
      <c r="C17" s="23" t="str">
        <f t="shared" si="0"/>
        <v>Saturday</v>
      </c>
      <c r="D17" s="25">
        <f>IF(ISBLANK(B17),"",IF(_xlfn.XLOOKUP(B17,TblRecords[Full Date],TblRecords[Start Time])=TIME(0,0,0),"OFF",_xlfn.XLOOKUP(B17,TblRecords[Full Date],TblRecords[Start Time])))</f>
        <v>0.58333333333333337</v>
      </c>
      <c r="E17" s="25">
        <f>IF(ISBLANK(B17),"",IF(_xlfn.XLOOKUP(B17,TblRecords[Full Date],TblRecords[End Time])=TIME(0,0,0),"OFF",_xlfn.XLOOKUP(B17,TblRecords[Full Date],TblRecords[End Time])))</f>
        <v>0.9375</v>
      </c>
      <c r="F17" s="37" t="str">
        <f>_xlfn.XLOOKUP(B17,TblRecords[Full Date],TblRecords[Notes],"Not Found")</f>
        <v>ATTENDED</v>
      </c>
      <c r="G17" s="37"/>
    </row>
    <row r="18" spans="1:7" x14ac:dyDescent="0.3">
      <c r="A18" s="23">
        <v>12</v>
      </c>
      <c r="B18" s="24">
        <v>46054</v>
      </c>
      <c r="C18" s="23" t="str">
        <f t="shared" si="0"/>
        <v>Sunday</v>
      </c>
      <c r="D18" s="25">
        <f>IF(ISBLANK(B18),"",IF(_xlfn.XLOOKUP(B18,TblRecords[Full Date],TblRecords[Start Time])=TIME(0,0,0),"OFF",_xlfn.XLOOKUP(B18,TblRecords[Full Date],TblRecords[Start Time])))</f>
        <v>0.58333333333333337</v>
      </c>
      <c r="E18" s="25">
        <f>IF(ISBLANK(B18),"",IF(_xlfn.XLOOKUP(B18,TblRecords[Full Date],TblRecords[End Time])=TIME(0,0,0),"OFF",_xlfn.XLOOKUP(B18,TblRecords[Full Date],TblRecords[End Time])))</f>
        <v>0.9375</v>
      </c>
      <c r="F18" s="37" t="str">
        <f>_xlfn.XLOOKUP(B18,TblRecords[Full Date],TblRecords[Notes],"Not Found")</f>
        <v>ATTENDED</v>
      </c>
      <c r="G18" s="37"/>
    </row>
    <row r="19" spans="1:7" x14ac:dyDescent="0.3">
      <c r="A19" s="23">
        <v>13</v>
      </c>
      <c r="B19" s="24">
        <v>46055</v>
      </c>
      <c r="C19" s="23" t="str">
        <f t="shared" si="0"/>
        <v>Monday</v>
      </c>
      <c r="D19" s="25">
        <f>IF(ISBLANK(B19),"",IF(_xlfn.XLOOKUP(B19,TblRecords[Full Date],TblRecords[Start Time])=TIME(0,0,0),"OFF",_xlfn.XLOOKUP(B19,TblRecords[Full Date],TblRecords[Start Time])))</f>
        <v>0.58333333333333337</v>
      </c>
      <c r="E19" s="25">
        <f>IF(ISBLANK(B19),"",IF(_xlfn.XLOOKUP(B19,TblRecords[Full Date],TblRecords[End Time])=TIME(0,0,0),"OFF",_xlfn.XLOOKUP(B19,TblRecords[Full Date],TblRecords[End Time])))</f>
        <v>0.9375</v>
      </c>
      <c r="F19" s="37" t="str">
        <f>_xlfn.XLOOKUP(B19,TblRecords[Full Date],TblRecords[Notes],"Not Found")</f>
        <v>ATTENDED</v>
      </c>
      <c r="G19" s="37"/>
    </row>
    <row r="20" spans="1:7" x14ac:dyDescent="0.3">
      <c r="A20" s="23">
        <v>14</v>
      </c>
      <c r="B20" s="24">
        <v>46056</v>
      </c>
      <c r="C20" s="23" t="str">
        <f t="shared" si="0"/>
        <v>Tuesday</v>
      </c>
      <c r="D20" s="25">
        <f>IF(ISBLANK(B20),"",IF(_xlfn.XLOOKUP(B20,TblRecords[Full Date],TblRecords[Start Time])=TIME(0,0,0),"OFF",_xlfn.XLOOKUP(B20,TblRecords[Full Date],TblRecords[Start Time])))</f>
        <v>0.58333333333333337</v>
      </c>
      <c r="E20" s="25">
        <f>IF(ISBLANK(B20),"",IF(_xlfn.XLOOKUP(B20,TblRecords[Full Date],TblRecords[End Time])=TIME(0,0,0),"OFF",_xlfn.XLOOKUP(B20,TblRecords[Full Date],TblRecords[End Time])))</f>
        <v>0.9375</v>
      </c>
      <c r="F20" s="37" t="str">
        <f>_xlfn.XLOOKUP(B20,TblRecords[Full Date],TblRecords[Notes],"Not Found")</f>
        <v>ATTENDED</v>
      </c>
      <c r="G20" s="37"/>
    </row>
    <row r="21" spans="1:7" x14ac:dyDescent="0.3">
      <c r="A21" s="23">
        <v>15</v>
      </c>
      <c r="B21" s="24">
        <v>46057</v>
      </c>
      <c r="C21" s="23" t="str">
        <f t="shared" si="0"/>
        <v>Wednesday</v>
      </c>
      <c r="D21" s="25">
        <f>IF(ISBLANK(B21),"",IF(_xlfn.XLOOKUP(B21,TblRecords[Full Date],TblRecords[Start Time])=TIME(0,0,0),"OFF",_xlfn.XLOOKUP(B21,TblRecords[Full Date],TblRecords[Start Time])))</f>
        <v>0.58333333333333337</v>
      </c>
      <c r="E21" s="25">
        <f>IF(ISBLANK(B21),"",IF(_xlfn.XLOOKUP(B21,TblRecords[Full Date],TblRecords[End Time])=TIME(0,0,0),"OFF",_xlfn.XLOOKUP(B21,TblRecords[Full Date],TblRecords[End Time])))</f>
        <v>0.9375</v>
      </c>
      <c r="F21" s="37" t="str">
        <f>_xlfn.XLOOKUP(B21,TblRecords[Full Date],TblRecords[Notes],"Not Found")</f>
        <v>ATTENDED</v>
      </c>
      <c r="G21" s="37"/>
    </row>
    <row r="22" spans="1:7" x14ac:dyDescent="0.3">
      <c r="A22" s="23">
        <v>16</v>
      </c>
      <c r="B22" s="24">
        <v>46058</v>
      </c>
      <c r="C22" s="23" t="str">
        <f t="shared" si="0"/>
        <v>Thursday</v>
      </c>
      <c r="D22" s="25" t="str">
        <f>IF(ISBLANK(B22),"",IF(_xlfn.XLOOKUP(B22,TblRecords[Full Date],TblRecords[Start Time])=TIME(0,0,0),"OFF",_xlfn.XLOOKUP(B22,TblRecords[Full Date],TblRecords[Start Time])))</f>
        <v>OFF</v>
      </c>
      <c r="E22" s="25" t="str">
        <f>IF(ISBLANK(B22),"",IF(_xlfn.XLOOKUP(B22,TblRecords[Full Date],TblRecords[End Time])=TIME(0,0,0),"OFF",_xlfn.XLOOKUP(B22,TblRecords[Full Date],TblRecords[End Time])))</f>
        <v>OFF</v>
      </c>
      <c r="F22" s="37" t="str">
        <f>_xlfn.XLOOKUP(B22,TblRecords[Full Date],TblRecords[Notes],"Not Found")</f>
        <v>OFF</v>
      </c>
      <c r="G22" s="37"/>
    </row>
    <row r="23" spans="1:7" x14ac:dyDescent="0.3">
      <c r="A23" s="23">
        <v>17</v>
      </c>
      <c r="B23" s="24">
        <v>46059</v>
      </c>
      <c r="C23" s="23" t="str">
        <f t="shared" si="0"/>
        <v>Friday</v>
      </c>
      <c r="D23" s="25">
        <f>IF(ISBLANK(B23),"",IF(_xlfn.XLOOKUP(B23,TblRecords[Full Date],TblRecords[Start Time])=TIME(0,0,0),"OFF",_xlfn.XLOOKUP(B23,TblRecords[Full Date],TblRecords[Start Time])))</f>
        <v>0.25</v>
      </c>
      <c r="E23" s="25">
        <f>IF(ISBLANK(B23),"",IF(_xlfn.XLOOKUP(B23,TblRecords[Full Date],TblRecords[End Time])=TIME(0,0,0),"OFF",_xlfn.XLOOKUP(B23,TblRecords[Full Date],TblRecords[End Time])))</f>
        <v>0.60416666666666674</v>
      </c>
      <c r="F23" s="37" t="str">
        <f>_xlfn.XLOOKUP(B23,TblRecords[Full Date],TblRecords[Notes],"Not Found")</f>
        <v>ATTENDED</v>
      </c>
      <c r="G23" s="37"/>
    </row>
    <row r="24" spans="1:7" x14ac:dyDescent="0.3">
      <c r="A24" s="23">
        <v>18</v>
      </c>
      <c r="B24" s="24">
        <v>46060</v>
      </c>
      <c r="C24" s="23" t="str">
        <f t="shared" si="0"/>
        <v>Saturday</v>
      </c>
      <c r="D24" s="25">
        <f>IF(ISBLANK(B24),"",IF(_xlfn.XLOOKUP(B24,TblRecords[Full Date],TblRecords[Start Time])=TIME(0,0,0),"OFF",_xlfn.XLOOKUP(B24,TblRecords[Full Date],TblRecords[Start Time])))</f>
        <v>0.25</v>
      </c>
      <c r="E24" s="25">
        <f>IF(ISBLANK(B24),"",IF(_xlfn.XLOOKUP(B24,TblRecords[Full Date],TblRecords[End Time])=TIME(0,0,0),"OFF",_xlfn.XLOOKUP(B24,TblRecords[Full Date],TblRecords[End Time])))</f>
        <v>0.60416666666666674</v>
      </c>
      <c r="F24" s="37" t="str">
        <f>_xlfn.XLOOKUP(B24,TblRecords[Full Date],TblRecords[Notes],"Not Found")</f>
        <v>ATTENDED</v>
      </c>
      <c r="G24" s="37"/>
    </row>
    <row r="25" spans="1:7" x14ac:dyDescent="0.3">
      <c r="A25" s="23">
        <v>19</v>
      </c>
      <c r="B25" s="24">
        <v>46061</v>
      </c>
      <c r="C25" s="23" t="str">
        <f t="shared" si="0"/>
        <v>Sunday</v>
      </c>
      <c r="D25" s="25">
        <f>IF(ISBLANK(B25),"",IF(_xlfn.XLOOKUP(B25,TblRecords[Full Date],TblRecords[Start Time])=TIME(0,0,0),"OFF",_xlfn.XLOOKUP(B25,TblRecords[Full Date],TblRecords[Start Time])))</f>
        <v>0.25</v>
      </c>
      <c r="E25" s="25">
        <f>IF(ISBLANK(B25),"",IF(_xlfn.XLOOKUP(B25,TblRecords[Full Date],TblRecords[End Time])=TIME(0,0,0),"OFF",_xlfn.XLOOKUP(B25,TblRecords[Full Date],TblRecords[End Time])))</f>
        <v>0.60416666666666674</v>
      </c>
      <c r="F25" s="37" t="str">
        <f>_xlfn.XLOOKUP(B25,TblRecords[Full Date],TblRecords[Notes],"Not Found")</f>
        <v>ATTENDED</v>
      </c>
      <c r="G25" s="37"/>
    </row>
    <row r="26" spans="1:7" x14ac:dyDescent="0.3">
      <c r="A26" s="23">
        <v>20</v>
      </c>
      <c r="B26" s="24">
        <v>46062</v>
      </c>
      <c r="C26" s="23" t="str">
        <f t="shared" si="0"/>
        <v>Monday</v>
      </c>
      <c r="D26" s="25">
        <f>IF(ISBLANK(B26),"",IF(_xlfn.XLOOKUP(B26,TblRecords[Full Date],TblRecords[Start Time])=TIME(0,0,0),"OFF",_xlfn.XLOOKUP(B26,TblRecords[Full Date],TblRecords[Start Time])))</f>
        <v>0.25</v>
      </c>
      <c r="E26" s="25">
        <f>IF(ISBLANK(B26),"",IF(_xlfn.XLOOKUP(B26,TblRecords[Full Date],TblRecords[End Time])=TIME(0,0,0),"OFF",_xlfn.XLOOKUP(B26,TblRecords[Full Date],TblRecords[End Time])))</f>
        <v>0.60416666666666674</v>
      </c>
      <c r="F26" s="37" t="str">
        <f>_xlfn.XLOOKUP(B26,TblRecords[Full Date],TblRecords[Notes],"Not Found")</f>
        <v>ATTENDED</v>
      </c>
      <c r="G26" s="37"/>
    </row>
    <row r="27" spans="1:7" x14ac:dyDescent="0.3">
      <c r="A27" s="23">
        <v>21</v>
      </c>
      <c r="B27" s="24">
        <v>46063</v>
      </c>
      <c r="C27" s="23" t="str">
        <f t="shared" si="0"/>
        <v>Tuesday</v>
      </c>
      <c r="D27" s="25">
        <f>IF(ISBLANK(B27),"",IF(_xlfn.XLOOKUP(B27,TblRecords[Full Date],TblRecords[Start Time])=TIME(0,0,0),"OFF",_xlfn.XLOOKUP(B27,TblRecords[Full Date],TblRecords[Start Time])))</f>
        <v>0.25</v>
      </c>
      <c r="E27" s="25">
        <f>IF(ISBLANK(B27),"",IF(_xlfn.XLOOKUP(B27,TblRecords[Full Date],TblRecords[End Time])=TIME(0,0,0),"OFF",_xlfn.XLOOKUP(B27,TblRecords[Full Date],TblRecords[End Time])))</f>
        <v>0.60416666666666674</v>
      </c>
      <c r="F27" s="37" t="str">
        <f>_xlfn.XLOOKUP(B27,TblRecords[Full Date],TblRecords[Notes],"Not Found")</f>
        <v>ATTENDED</v>
      </c>
      <c r="G27" s="37"/>
    </row>
    <row r="28" spans="1:7" x14ac:dyDescent="0.3">
      <c r="A28" s="23">
        <v>22</v>
      </c>
      <c r="B28" s="24">
        <v>46064</v>
      </c>
      <c r="C28" s="23" t="str">
        <f t="shared" si="0"/>
        <v>Wednesday</v>
      </c>
      <c r="D28" s="25" t="str">
        <f>IF(ISBLANK(B28),"",IF(_xlfn.XLOOKUP(B28,TblRecords[Full Date],TblRecords[Start Time])=TIME(0,0,0),"OFF",_xlfn.XLOOKUP(B28,TblRecords[Full Date],TblRecords[Start Time])))</f>
        <v>OFF</v>
      </c>
      <c r="E28" s="25" t="str">
        <f>IF(ISBLANK(B28),"",IF(_xlfn.XLOOKUP(B28,TblRecords[Full Date],TblRecords[End Time])=TIME(0,0,0),"OFF",_xlfn.XLOOKUP(B28,TblRecords[Full Date],TblRecords[End Time])))</f>
        <v>OFF</v>
      </c>
      <c r="F28" s="37" t="str">
        <f>_xlfn.XLOOKUP(B28,TblRecords[Full Date],TblRecords[Notes],"Not Found")</f>
        <v>OFF</v>
      </c>
      <c r="G28" s="37"/>
    </row>
    <row r="29" spans="1:7" x14ac:dyDescent="0.3">
      <c r="A29" s="23">
        <v>23</v>
      </c>
      <c r="B29" s="24">
        <v>46065</v>
      </c>
      <c r="C29" s="23" t="str">
        <f t="shared" si="0"/>
        <v>Thursday</v>
      </c>
      <c r="D29" s="25" t="str">
        <f>IF(ISBLANK(B29),"",IF(_xlfn.XLOOKUP(B29,TblRecords[Full Date],TblRecords[Start Time])=TIME(0,0,0),"OFF",_xlfn.XLOOKUP(B29,TblRecords[Full Date],TblRecords[Start Time])))</f>
        <v>OFF</v>
      </c>
      <c r="E29" s="25" t="str">
        <f>IF(ISBLANK(B29),"",IF(_xlfn.XLOOKUP(B29,TblRecords[Full Date],TblRecords[End Time])=TIME(0,0,0),"OFF",_xlfn.XLOOKUP(B29,TblRecords[Full Date],TblRecords[End Time])))</f>
        <v>OFF</v>
      </c>
      <c r="F29" s="37" t="str">
        <f>_xlfn.XLOOKUP(B29,TblRecords[Full Date],TblRecords[Notes],"Not Found")</f>
        <v>OFF</v>
      </c>
      <c r="G29" s="37"/>
    </row>
    <row r="30" spans="1:7" x14ac:dyDescent="0.3">
      <c r="A30" s="23">
        <v>24</v>
      </c>
      <c r="B30" s="24">
        <v>46066</v>
      </c>
      <c r="C30" s="23" t="str">
        <f t="shared" si="0"/>
        <v>Friday</v>
      </c>
      <c r="D30" s="25">
        <f>IF(ISBLANK(B30),"",IF(_xlfn.XLOOKUP(B30,TblRecords[Full Date],TblRecords[Start Time])=TIME(0,0,0),"OFF",_xlfn.XLOOKUP(B30,TblRecords[Full Date],TblRecords[Start Time])))</f>
        <v>0.91666666666666663</v>
      </c>
      <c r="E30" s="25">
        <f>IF(ISBLANK(B30),"",IF(_xlfn.XLOOKUP(B30,TblRecords[Full Date],TblRecords[End Time])=TIME(0,0,0),"OFF",_xlfn.XLOOKUP(B30,TblRecords[Full Date],TblRecords[End Time])))</f>
        <v>1.2708333333333333</v>
      </c>
      <c r="F30" s="37" t="str">
        <f>_xlfn.XLOOKUP(B30,TblRecords[Full Date],TblRecords[Notes],"Not Found")</f>
        <v>ATTENDED</v>
      </c>
      <c r="G30" s="37"/>
    </row>
    <row r="31" spans="1:7" x14ac:dyDescent="0.3">
      <c r="A31" s="23">
        <v>25</v>
      </c>
      <c r="B31" s="24">
        <v>46067</v>
      </c>
      <c r="C31" s="23" t="str">
        <f t="shared" si="0"/>
        <v>Saturday</v>
      </c>
      <c r="D31" s="25">
        <f>IF(ISBLANK(B31),"",IF(_xlfn.XLOOKUP(B31,TblRecords[Full Date],TblRecords[Start Time])=TIME(0,0,0),"OFF",_xlfn.XLOOKUP(B31,TblRecords[Full Date],TblRecords[Start Time])))</f>
        <v>0.91666666666666663</v>
      </c>
      <c r="E31" s="25">
        <f>IF(ISBLANK(B31),"",IF(_xlfn.XLOOKUP(B31,TblRecords[Full Date],TblRecords[End Time])=TIME(0,0,0),"OFF",_xlfn.XLOOKUP(B31,TblRecords[Full Date],TblRecords[End Time])))</f>
        <v>1.2708333333333333</v>
      </c>
      <c r="F31" s="37" t="str">
        <f>_xlfn.XLOOKUP(B31,TblRecords[Full Date],TblRecords[Notes],"Not Found")</f>
        <v>ATTENDED</v>
      </c>
      <c r="G31" s="37"/>
    </row>
    <row r="32" spans="1:7" x14ac:dyDescent="0.3">
      <c r="A32" s="23">
        <v>26</v>
      </c>
      <c r="B32" s="24">
        <v>46068</v>
      </c>
      <c r="C32" s="23" t="str">
        <f t="shared" si="0"/>
        <v>Sunday</v>
      </c>
      <c r="D32" s="25">
        <f>IF(ISBLANK(B32),"",IF(_xlfn.XLOOKUP(B32,TblRecords[Full Date],TblRecords[Start Time])=TIME(0,0,0),"OFF",_xlfn.XLOOKUP(B32,TblRecords[Full Date],TblRecords[Start Time])))</f>
        <v>0.91666666666666663</v>
      </c>
      <c r="E32" s="25">
        <f>IF(ISBLANK(B32),"",IF(_xlfn.XLOOKUP(B32,TblRecords[Full Date],TblRecords[End Time])=TIME(0,0,0),"OFF",_xlfn.XLOOKUP(B32,TblRecords[Full Date],TblRecords[End Time])))</f>
        <v>1.2708333333333333</v>
      </c>
      <c r="F32" s="37" t="str">
        <f>_xlfn.XLOOKUP(B32,TblRecords[Full Date],TblRecords[Notes],"Not Found")</f>
        <v>ATTENDED</v>
      </c>
      <c r="G32" s="37"/>
    </row>
    <row r="33" spans="1:15" x14ac:dyDescent="0.3">
      <c r="A33" s="23">
        <v>27</v>
      </c>
      <c r="B33" s="24">
        <v>46069</v>
      </c>
      <c r="C33" s="23" t="str">
        <f t="shared" si="0"/>
        <v>Monday</v>
      </c>
      <c r="D33" s="25">
        <f>IF(ISBLANK(B33),"",IF(_xlfn.XLOOKUP(B33,TblRecords[Full Date],TblRecords[Start Time])=TIME(0,0,0),"OFF",_xlfn.XLOOKUP(B33,TblRecords[Full Date],TblRecords[Start Time])))</f>
        <v>0.91666666666666663</v>
      </c>
      <c r="E33" s="25">
        <f>IF(ISBLANK(B33),"",IF(_xlfn.XLOOKUP(B33,TblRecords[Full Date],TblRecords[End Time])=TIME(0,0,0),"OFF",_xlfn.XLOOKUP(B33,TblRecords[Full Date],TblRecords[End Time])))</f>
        <v>1.2708333333333333</v>
      </c>
      <c r="F33" s="37" t="str">
        <f>_xlfn.XLOOKUP(B33,TblRecords[Full Date],TblRecords[Notes],"Not Found")</f>
        <v>ATTENDED</v>
      </c>
      <c r="G33" s="37"/>
    </row>
    <row r="34" spans="1:15" x14ac:dyDescent="0.3">
      <c r="A34" s="23">
        <v>28</v>
      </c>
      <c r="B34" s="24">
        <v>46070</v>
      </c>
      <c r="C34" s="23" t="str">
        <f t="shared" si="0"/>
        <v>Tuesday</v>
      </c>
      <c r="D34" s="25">
        <f>IF(ISBLANK(B34),"",IF(_xlfn.XLOOKUP(B34,TblRecords[Full Date],TblRecords[Start Time])=TIME(0,0,0),"OFF",_xlfn.XLOOKUP(B34,TblRecords[Full Date],TblRecords[Start Time])))</f>
        <v>0.91666666666666663</v>
      </c>
      <c r="E34" s="25">
        <f>IF(ISBLANK(B34),"",IF(_xlfn.XLOOKUP(B34,TblRecords[Full Date],TblRecords[End Time])=TIME(0,0,0),"OFF",_xlfn.XLOOKUP(B34,TblRecords[Full Date],TblRecords[End Time])))</f>
        <v>1.25</v>
      </c>
      <c r="F34" s="37" t="str">
        <f>_xlfn.XLOOKUP(B34,TblRecords[Full Date],TblRecords[Notes],"Not Found")</f>
        <v>HOLIDAY OVERTIME</v>
      </c>
      <c r="G34" s="37"/>
    </row>
    <row r="35" spans="1:15" x14ac:dyDescent="0.3">
      <c r="A35" s="23">
        <v>29</v>
      </c>
      <c r="B35" s="24">
        <v>46071</v>
      </c>
      <c r="C35" s="23" t="str">
        <f t="shared" si="0"/>
        <v>Wednesday</v>
      </c>
      <c r="D35" s="25" t="str">
        <f>IF(ISBLANK(B35),"",IF(_xlfn.XLOOKUP(B35,TblRecords[Full Date],TblRecords[Start Time])=TIME(0,0,0),"OFF",_xlfn.XLOOKUP(B35,TblRecords[Full Date],TblRecords[Start Time])))</f>
        <v>OFF</v>
      </c>
      <c r="E35" s="25" t="str">
        <f>IF(ISBLANK(B35),"",IF(_xlfn.XLOOKUP(B35,TblRecords[Full Date],TblRecords[End Time])=TIME(0,0,0),"OFF",_xlfn.XLOOKUP(B35,TblRecords[Full Date],TblRecords[End Time])))</f>
        <v>OFF</v>
      </c>
      <c r="F35" s="37" t="str">
        <f>_xlfn.XLOOKUP(B35,TblRecords[Full Date],TblRecords[Notes],"Not Found")</f>
        <v>OFF</v>
      </c>
      <c r="G35" s="37"/>
    </row>
    <row r="36" spans="1:15" x14ac:dyDescent="0.3">
      <c r="A36" s="23">
        <v>30</v>
      </c>
      <c r="B36" s="24">
        <v>46072</v>
      </c>
      <c r="C36" s="23" t="str">
        <f t="shared" si="0"/>
        <v>Thursday</v>
      </c>
      <c r="D36" s="25" t="str">
        <f>IF(ISBLANK(B36),"",IF(_xlfn.XLOOKUP(B36,TblRecords[Full Date],TblRecords[Start Time])=TIME(0,0,0),"OFF",_xlfn.XLOOKUP(B36,TblRecords[Full Date],TblRecords[Start Time])))</f>
        <v>OFF</v>
      </c>
      <c r="E36" s="25" t="str">
        <f>IF(ISBLANK(B36),"",IF(_xlfn.XLOOKUP(B36,TblRecords[Full Date],TblRecords[End Time])=TIME(0,0,0),"OFF",_xlfn.XLOOKUP(B36,TblRecords[Full Date],TblRecords[End Time])))</f>
        <v>OFF</v>
      </c>
      <c r="F36" s="37" t="str">
        <f>_xlfn.XLOOKUP(B36,TblRecords[Full Date],TblRecords[Notes],"Not Found")</f>
        <v>OFF</v>
      </c>
      <c r="G36" s="37"/>
    </row>
    <row r="37" spans="1:15" x14ac:dyDescent="0.3">
      <c r="A37" s="23">
        <v>31</v>
      </c>
      <c r="B37" s="24">
        <v>46073</v>
      </c>
      <c r="C37" s="23" t="str">
        <f t="shared" si="0"/>
        <v>Friday</v>
      </c>
      <c r="D37" s="25">
        <f>IF(ISBLANK(B37),"",IF(_xlfn.XLOOKUP(B37,TblRecords[Full Date],TblRecords[Start Time])=TIME(0,0,0),"OFF",_xlfn.XLOOKUP(B37,TblRecords[Full Date],TblRecords[Start Time])))</f>
        <v>0.58333333333333337</v>
      </c>
      <c r="E37" s="25">
        <f>IF(ISBLANK(B37),"",IF(_xlfn.XLOOKUP(B37,TblRecords[Full Date],TblRecords[End Time])=TIME(0,0,0),"OFF",_xlfn.XLOOKUP(B37,TblRecords[Full Date],TblRecords[End Time])))</f>
        <v>0.9375</v>
      </c>
      <c r="F37" s="37" t="str">
        <f>_xlfn.XLOOKUP(B37,TblRecords[Full Date],TblRecords[Notes],"Not Found")</f>
        <v>ATTENDED</v>
      </c>
      <c r="G37" s="37"/>
    </row>
    <row r="38" spans="1:15" x14ac:dyDescent="0.3">
      <c r="A38" s="23"/>
      <c r="B38" s="24"/>
      <c r="C38" s="23" t="str">
        <f t="shared" si="0"/>
        <v/>
      </c>
      <c r="D38" s="25" t="str">
        <f>IF(ISBLANK(B38),"",IF(_xlfn.XLOOKUP(B38,TblRecords[Full Date],TblRecords[Start Time])=TIME(0,0,0),"OFF",_xlfn.XLOOKUP(B38,TblRecords[Full Date],TblRecords[Start Time])))</f>
        <v/>
      </c>
      <c r="E38" s="25" t="str">
        <f>IF(ISBLANK(B38),"",IF(_xlfn.XLOOKUP(B38,TblRecords[Full Date],TblRecords[End Time])=TIME(0,0,0),"OFF",_xlfn.XLOOKUP(B38,TblRecords[Full Date],TblRecords[End Time])))</f>
        <v/>
      </c>
      <c r="F38" s="37" t="str">
        <f>_xlfn.XLOOKUP(B38,TblRecords[Full Date],TblRecords[Notes],"")</f>
        <v/>
      </c>
      <c r="G38" s="37"/>
    </row>
    <row r="39" spans="1:15" x14ac:dyDescent="0.3">
      <c r="D39" s="39" t="s">
        <v>61</v>
      </c>
      <c r="E39" s="40"/>
      <c r="F39" s="26" t="s">
        <v>58</v>
      </c>
      <c r="G39" s="26" t="str">
        <f>COUNTIF(D7:D36,"&gt;0")&amp;" Hari"</f>
        <v>20 Hari</v>
      </c>
    </row>
    <row r="40" spans="1:15" x14ac:dyDescent="0.3">
      <c r="D40" s="41"/>
      <c r="E40" s="42"/>
      <c r="F40" s="26" t="s">
        <v>62</v>
      </c>
      <c r="G40" s="26" t="str">
        <f>COUNTIF(F7:G38,"Sakit") + COUNTIF(F7:G38,"Izin")&amp;" Hari"</f>
        <v>0 Hari</v>
      </c>
    </row>
    <row r="41" spans="1:15" x14ac:dyDescent="0.3">
      <c r="F41" s="43"/>
      <c r="G41" s="43"/>
      <c r="H41" s="44"/>
      <c r="I41" s="44"/>
    </row>
    <row r="48" spans="1:15" x14ac:dyDescent="0.3">
      <c r="O48" s="27"/>
    </row>
    <row r="49" spans="15:15" x14ac:dyDescent="0.3">
      <c r="O49" s="27"/>
    </row>
  </sheetData>
  <mergeCells count="40">
    <mergeCell ref="A1:I2"/>
    <mergeCell ref="D39:E40"/>
    <mergeCell ref="F38:G38"/>
    <mergeCell ref="F23:G23"/>
    <mergeCell ref="F24:G24"/>
    <mergeCell ref="F17:G17"/>
    <mergeCell ref="F16:G16"/>
    <mergeCell ref="F10:G10"/>
    <mergeCell ref="F29:G29"/>
    <mergeCell ref="F28:G28"/>
    <mergeCell ref="F27:G27"/>
    <mergeCell ref="F26:G26"/>
    <mergeCell ref="F25:G25"/>
    <mergeCell ref="F37:G37"/>
    <mergeCell ref="F36:G36"/>
    <mergeCell ref="F35:G35"/>
    <mergeCell ref="F34:G34"/>
    <mergeCell ref="F33:G33"/>
    <mergeCell ref="F7:G7"/>
    <mergeCell ref="F8:G8"/>
    <mergeCell ref="F9:G9"/>
    <mergeCell ref="F32:G32"/>
    <mergeCell ref="F31:G31"/>
    <mergeCell ref="F30:G30"/>
    <mergeCell ref="F11:G11"/>
    <mergeCell ref="F12:G12"/>
    <mergeCell ref="F13:G13"/>
    <mergeCell ref="F14:G14"/>
    <mergeCell ref="F15:G15"/>
    <mergeCell ref="F22:G22"/>
    <mergeCell ref="F21:G21"/>
    <mergeCell ref="F20:G20"/>
    <mergeCell ref="F19:G19"/>
    <mergeCell ref="F18:G18"/>
    <mergeCell ref="D5:E5"/>
    <mergeCell ref="A5:A6"/>
    <mergeCell ref="B5:B6"/>
    <mergeCell ref="C5:C6"/>
    <mergeCell ref="A3:B3"/>
    <mergeCell ref="F5:G6"/>
  </mergeCells>
  <printOptions horizontalCentered="1" verticalCentered="1"/>
  <pageMargins left="0.70866141732283461" right="0.70866141732283461" top="0.74803149606299213" bottom="0.74803149606299213" header="0.31496062992125984" footer="0.31496062992125984"/>
  <pageSetup paperSize="9" scale="9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FEFC1C-B22A-49DA-860F-4CD4BC52C165}">
  <ds:schemaRefs>
    <ds:schemaRef ds:uri="http://schemas.microsoft.com/DataMashup"/>
  </ds:schemaRefs>
</ds:datastoreItem>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Customization</vt:lpstr>
      <vt:lpstr>Events</vt:lpstr>
      <vt:lpstr>Deductions</vt:lpstr>
      <vt:lpstr>Work Records</vt:lpstr>
      <vt:lpstr>Pivot Table</vt:lpstr>
      <vt:lpstr>Dashboard</vt:lpstr>
      <vt:lpstr>Attendance Recap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BAGUS JOKO PRASETYA</dc:creator>
  <cp:lastModifiedBy>MUHAMMAD BAGUS JOKO PRASETYA</cp:lastModifiedBy>
  <cp:lastPrinted>2026-10-14T09:33:54Z</cp:lastPrinted>
  <dcterms:created xsi:type="dcterms:W3CDTF">2026-10-04T07:48:42Z</dcterms:created>
  <dcterms:modified xsi:type="dcterms:W3CDTF">2026-10-15T12:35:35Z</dcterms:modified>
</cp:coreProperties>
</file>