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https://binusianorg-my.sharepoint.com/personal/muhammad_prasetya007_binus_ac_id/Documents/Kuliah/Project Portofolio/Work Records/"/>
    </mc:Choice>
  </mc:AlternateContent>
  <xr:revisionPtr revIDLastSave="225" documentId="8_{1F0E3F0C-1636-2142-B93E-3AD6684DBF1E}" xr6:coauthVersionLast="47" xr6:coauthVersionMax="47" xr10:uidLastSave="{EA5ACA27-8326-4027-8BC6-4C570F78860C}"/>
  <bookViews>
    <workbookView minimized="1" xWindow="1884" yWindow="1884" windowWidth="17280" windowHeight="8880" xr2:uid="{00000000-000D-0000-FFFF-FFFF00000000}"/>
  </bookViews>
  <sheets>
    <sheet name="Customization" sheetId="4" r:id="rId1"/>
    <sheet name="Events" sheetId="5" r:id="rId2"/>
    <sheet name="Deductions" sheetId="6" r:id="rId3"/>
    <sheet name="Work Records" sheetId="1" r:id="rId4"/>
    <sheet name="Pivot Table" sheetId="2" r:id="rId5"/>
    <sheet name="Dashboard" sheetId="3" r:id="rId6"/>
    <sheet name="Attendance Recap" sheetId="7" r:id="rId7"/>
  </sheets>
  <definedNames>
    <definedName name="_xlnm._FilterDatabase" localSheetId="3" hidden="1">'Work Records'!#REF!</definedName>
    <definedName name="_xlcn.WorksheetConnection_Book1.xlsxTable21" hidden="1">TblRecords[]</definedName>
    <definedName name="Slicer_Payroll_Month">#N/A</definedName>
    <definedName name="Slicer_Payroll_Year">#N/A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ook (1).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7" l="1"/>
  <c r="E7" i="7"/>
  <c r="D7" i="7"/>
  <c r="B7" i="7" a="1"/>
  <c r="F7" i="7" s="1"/>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C2" i="1" a="1"/>
  <c r="H2" i="1"/>
  <c r="L2" i="1" a="1"/>
  <c r="M2" i="1" a="1"/>
  <c r="N2" i="1"/>
  <c r="C38" i="7"/>
  <c r="G3" i="7"/>
  <c r="C3" i="7"/>
  <c r="G23" i="2"/>
  <c r="H3" i="2"/>
  <c r="M4" i="2"/>
  <c r="E5" i="2"/>
  <c r="F5" i="2" s="1"/>
  <c r="F21" i="2"/>
  <c r="M1" i="2"/>
  <c r="M2" i="2"/>
  <c r="M3" i="2"/>
  <c r="C2" i="2"/>
  <c r="E38" i="7"/>
  <c r="D38" i="7"/>
  <c r="F2" i="1" l="1"/>
  <c r="G2" i="1"/>
  <c r="I2" i="1" s="1" a="1"/>
  <c r="J2" i="1"/>
  <c r="K2" i="1" a="1"/>
  <c r="C8" i="7" l="1"/>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7" i="7"/>
  <c r="D13" i="7"/>
  <c r="D9" i="7"/>
  <c r="E36" i="7"/>
  <c r="E35" i="7"/>
  <c r="E29" i="7"/>
  <c r="E25" i="7"/>
  <c r="E21" i="7"/>
  <c r="E18" i="7"/>
  <c r="E16" i="7"/>
  <c r="E13" i="7"/>
  <c r="E11" i="7"/>
  <c r="E9" i="7"/>
  <c r="D32" i="7"/>
  <c r="D27" i="7"/>
  <c r="D22" i="7"/>
  <c r="D19" i="7"/>
  <c r="D15" i="7"/>
  <c r="D10" i="7"/>
  <c r="E34" i="7"/>
  <c r="D31" i="7"/>
  <c r="D36" i="7"/>
  <c r="D33" i="7"/>
  <c r="D28" i="7"/>
  <c r="D25" i="7"/>
  <c r="D21" i="7"/>
  <c r="D16" i="7"/>
  <c r="E32" i="7"/>
  <c r="E28" i="7"/>
  <c r="E26" i="7"/>
  <c r="E22" i="7"/>
  <c r="E19" i="7"/>
  <c r="E15" i="7"/>
  <c r="E12" i="7"/>
  <c r="E8" i="7"/>
  <c r="D37" i="7"/>
  <c r="E37" i="7"/>
  <c r="D29" i="7"/>
  <c r="D17" i="7"/>
  <c r="E30" i="7"/>
  <c r="D11" i="7"/>
  <c r="E33" i="7"/>
  <c r="E31" i="7"/>
  <c r="E27" i="7"/>
  <c r="E23" i="7"/>
  <c r="E20" i="7"/>
  <c r="E17" i="7"/>
  <c r="E14" i="7"/>
  <c r="D24" i="7"/>
  <c r="D12" i="7"/>
  <c r="E24" i="7"/>
  <c r="D34" i="7"/>
  <c r="D30" i="7"/>
  <c r="D26" i="7"/>
  <c r="D23" i="7"/>
  <c r="D18" i="7"/>
  <c r="D35" i="7"/>
  <c r="D8" i="7"/>
  <c r="E10" i="7"/>
  <c r="A7" i="7" a="1"/>
  <c r="D20" i="7"/>
  <c r="D14" i="7"/>
  <c r="G40" i="7" l="1"/>
  <c r="G3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Work Records" description="Connection to the 'Work Records' query in the workbook." type="5" refreshedVersion="0" background="1" saveData="1">
    <dbPr connection="Provider=Microsoft.Mashup.OleDb.1;Data Source=$Workbook$;Location=&quot;Work Records&quot;;Extended Properties=&quot;&quot;" command="SELECT * FROM [Work Records]"/>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Book (1).xlsx!Table2" type="102" refreshedVersion="8" minRefreshableVersion="5">
    <extLst>
      <ext xmlns:x15="http://schemas.microsoft.com/office/spreadsheetml/2010/11/main" uri="{DE250136-89BD-433C-8126-D09CA5730AF9}">
        <x15:connection id="Table2">
          <x15:rangePr sourceName="_xlcn.WorksheetConnection_Book1.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<sst xmlns="http://schemas.openxmlformats.org/spreadsheetml/2006/main" count="79" uniqueCount="53">
  <si>
    <t>Shift</t>
  </si>
  <si>
    <t>Start Time</t>
  </si>
  <si>
    <t>End Time</t>
  </si>
  <si>
    <t>Daily Pay</t>
  </si>
  <si>
    <t>Overtime Pay</t>
  </si>
  <si>
    <t>No</t>
  </si>
  <si>
    <t>OFF</t>
  </si>
  <si>
    <t>Payroll Month</t>
  </si>
  <si>
    <t>January</t>
  </si>
  <si>
    <t>Full Date</t>
  </si>
  <si>
    <t>Row Labels</t>
  </si>
  <si>
    <t>Grand Total</t>
  </si>
  <si>
    <t>Count of Shift</t>
  </si>
  <si>
    <t>Total Working Days</t>
  </si>
  <si>
    <t>Calender Days</t>
  </si>
  <si>
    <t>Total Daily Pay</t>
  </si>
  <si>
    <t>Gross Salary</t>
  </si>
  <si>
    <t>Net Salary</t>
  </si>
  <si>
    <t>Total OFF</t>
  </si>
  <si>
    <t>Payroll Year</t>
  </si>
  <si>
    <t>Sum of Net Salary</t>
  </si>
  <si>
    <t>Notes</t>
  </si>
  <si>
    <t>Count of Notes</t>
  </si>
  <si>
    <t>Average of Shift</t>
  </si>
  <si>
    <t>Year</t>
  </si>
  <si>
    <t>Type</t>
  </si>
  <si>
    <t>Hour</t>
  </si>
  <si>
    <t>Holiday Overtime</t>
  </si>
  <si>
    <t>Work Hour</t>
  </si>
  <si>
    <t>Normal Day Overtime</t>
  </si>
  <si>
    <t>Overtime Hour</t>
  </si>
  <si>
    <t>Overtime Break</t>
  </si>
  <si>
    <t>Break</t>
  </si>
  <si>
    <t>Sum of Overtime Pay</t>
  </si>
  <si>
    <t>Deduction</t>
  </si>
  <si>
    <t>Rate</t>
  </si>
  <si>
    <t>Payroll Periode</t>
  </si>
  <si>
    <t>Deduction Type</t>
  </si>
  <si>
    <t>Sum of Deduction</t>
  </si>
  <si>
    <t>Date</t>
  </si>
  <si>
    <t>Start Period Date</t>
  </si>
  <si>
    <t>End Period Date</t>
  </si>
  <si>
    <t>Masuk</t>
  </si>
  <si>
    <t>Periode:</t>
  </si>
  <si>
    <t>s/d</t>
  </si>
  <si>
    <t>Total</t>
  </si>
  <si>
    <t>Izin</t>
  </si>
  <si>
    <t>Time</t>
  </si>
  <si>
    <t>Shift Start Time</t>
  </si>
  <si>
    <t>ATTENDANCE RECAP</t>
  </si>
  <si>
    <t>Day</t>
  </si>
  <si>
    <t>In</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</si>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</sst>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F400]h:mm:ss\ AM/PM"/>
    <numFmt numFmtId="165" formatCode="[$-13809]hh:mm;@"/>
    <numFmt numFmtId="166" formatCode="&quot;Rp&quot;#,##0.00"/>
    <numFmt numFmtId="167" formatCode="mm"/>
    <numFmt numFmtId="168" formatCode="0.0"/>
    <numFmt numFmtId="169" formatCode="[$-13809]dd/mm/yyyy;@"/>
    <numFmt numFmtId="170" formatCode="mmmm"/>
  </numFmts>
  <fonts count="6" x14ac:knownFonts="1">
    <font>
      <sz val="11"/>
      <color theme="1"/>
      <name val="Aptos Narrow"/>
      <family val="2"/>
      <scheme val="minor"/>
    </font>
    <font>
      <sz val="8"/>
      <name val="Aptos Narrow"/>
      <family val="2"/>
      <scheme val="minor"/>
    </font>
    <font>
      <b/>
      <sz val="11"/>
      <color theme="1"/>
      <name val="Aptos Narrow"/>
      <family val="2"/>
      <scheme val="minor"/>
    </font>
    <font>
      <b/>
      <sz val="11"/>
      <color theme="1"/>
      <name val="Times New Roman"/>
      <family val="1"/>
    </font>
    <font>
      <sz val="11"/>
      <color theme="1"/>
      <name val="Arial"/>
      <family val="2"/>
    </font>
    <font>
      <b/>
      <sz val="18"/>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0" applyNumberFormat="1"/>
    <xf numFmtId="167" fontId="0" fillId="0" borderId="0" xfId="0" applyNumberFormat="1" applyAlignment="1">
      <alignment horizontal="center" vertical="center"/>
    </xf>
    <xf numFmtId="168"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2" borderId="0" xfId="0" applyFont="1" applyFill="1"/>
    <xf numFmtId="1" fontId="0" fillId="0" borderId="0" xfId="0" applyNumberFormat="1"/>
    <xf numFmtId="165" fontId="0" fillId="0" borderId="0" xfId="0" applyNumberFormat="1"/>
    <xf numFmtId="14" fontId="0" fillId="0" borderId="0" xfId="0" applyNumberFormat="1"/>
    <xf numFmtId="169"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1" xfId="0" applyBorder="1" applyAlignment="1">
      <alignment horizontal="center" vertical="center"/>
    </xf>
    <xf numFmtId="165" fontId="0" fillId="0" borderId="0" xfId="0" applyNumberFormat="1" applyAlignment="1">
      <alignment horizontal="center"/>
    </xf>
    <xf numFmtId="165" fontId="0" fillId="0" borderId="1" xfId="0" applyNumberFormat="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xf numFmtId="0" fontId="4" fillId="0" borderId="0" xfId="0" applyFont="1" applyAlignment="1">
      <alignment vertical="center" wrapText="1"/>
    </xf>
    <xf numFmtId="170" fontId="0" fillId="0" borderId="0" xfId="0" applyNumberFormat="1" applyAlignment="1">
      <alignment horizontal="left"/>
    </xf>
    <xf numFmtId="0" fontId="0" fillId="0" borderId="0" xfId="0" applyAlignment="1">
      <alignment vertical="center"/>
    </xf>
    <xf numFmtId="0" fontId="2" fillId="3" borderId="0" xfId="0" applyFont="1" applyFill="1" applyAlignment="1">
      <alignment horizontal="center"/>
    </xf>
    <xf numFmtId="1" fontId="3" fillId="3" borderId="0" xfId="0" applyNumberFormat="1" applyFont="1" applyFill="1" applyAlignment="1">
      <alignment horizontal="center"/>
    </xf>
    <xf numFmtId="0" fontId="3" fillId="3" borderId="0" xfId="0" applyFont="1"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xf>
    <xf numFmtId="0" fontId="0" fillId="0" borderId="0" xfId="0" applyNumberFormat="1"/>
  </cellXfs>
  <cellStyles count="1">
    <cellStyle name="Normal" xfId="0" builtinId="0"/>
  </cellStyles>
  <dxfs count="33">
    <dxf>
      <numFmt numFmtId="166" formatCode="&quot;Rp&quot;#,##0.00"/>
    </dxf>
    <dxf>
      <numFmt numFmtId="165" formatCode="[$-13809]hh:mm;@"/>
    </dxf>
    <dxf>
      <numFmt numFmtId="166" formatCode="&quot;Rp&quot;#,##0.00"/>
    </dxf>
    <dxf>
      <numFmt numFmtId="165" formatCode="[$-13809]hh:mm;@"/>
    </dxf>
    <dxf>
      <numFmt numFmtId="166" formatCode="&quot;Rp&quot;#,##0.00"/>
    </dxf>
    <dxf>
      <numFmt numFmtId="1" formatCode="0"/>
    </dxf>
    <dxf>
      <numFmt numFmtId="165" formatCode="[$-13809]hh:mm;@"/>
    </dxf>
    <dxf>
      <numFmt numFmtId="165" formatCode="[$-13809]hh:mm;@"/>
    </dxf>
    <dxf>
      <numFmt numFmtId="19" formatCode="dd/mm/yyyy"/>
      <alignment horizontal="center" vertical="center" textRotation="0" wrapText="0" indent="0" justifyLastLine="0" shrinkToFit="0" readingOrder="0"/>
    </dxf>
    <dxf>
      <numFmt numFmtId="166" formatCode="&quot;Rp&quot;#,##0.00"/>
    </dxf>
    <dxf>
      <numFmt numFmtId="166" formatCode="&quot;Rp&quot;#,##0.00"/>
    </dxf>
    <dxf>
      <numFmt numFmtId="0" formatCode="General"/>
    </dxf>
    <dxf>
      <numFmt numFmtId="165" formatCode="[$-13809]hh:mm;@"/>
      <alignment horizontal="center" vertical="center" textRotation="0" wrapText="0" indent="0" justifyLastLine="0" shrinkToFit="0" readingOrder="0"/>
    </dxf>
    <dxf>
      <numFmt numFmtId="168" formatCode="0.0"/>
      <alignment horizontal="center" vertical="center" textRotation="0" wrapText="0" indent="0" justifyLastLine="0" shrinkToFit="0" readingOrder="0"/>
    </dxf>
    <dxf>
      <numFmt numFmtId="167" formatCode="m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6" formatCode="&quot;Rp&quot;#,##0.00"/>
    </dxf>
    <dxf>
      <numFmt numFmtId="166" formatCode="&quot;Rp&quot;#,##0.00"/>
    </dxf>
    <dxf>
      <numFmt numFmtId="0" formatCode="General"/>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6" formatCode="&quot;Rp&quot;#,##0.00"/>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65" formatCode="[$-13809]hh:mm;@"/>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13809]hh:mm;@"/>
    </dxf>
    <dxf>
      <font>
        <sz val="10"/>
        <color theme="0"/>
      </font>
      <border>
        <bottom style="thin">
          <color theme="4"/>
        </bottom>
        <vertical/>
        <horizontal/>
      </border>
    </dxf>
    <dxf>
      <font>
        <b/>
        <i val="0"/>
        <u val="none"/>
        <color theme="0"/>
        <name val="Montserrat"/>
        <family val="3"/>
      </font>
      <fill>
        <patternFill>
          <bgColor theme="4"/>
        </patternFill>
      </fill>
      <border diagonalUp="0" diagonalDown="0">
        <left/>
        <right/>
        <top/>
        <bottom/>
        <vertical/>
        <horizontal/>
      </border>
    </dxf>
  </dxfs>
  <tableStyles count="1" defaultTableStyle="TableStyleMedium2" defaultPivotStyle="PivotStyleLight16">
    <tableStyle name="Custom Style 1" pivot="0" table="0" count="10" xr9:uid="{B65461AD-C2F3-44C7-9A54-1037F62CAA3A}">
      <tableStyleElement type="wholeTable" dxfId="32"/>
      <tableStyleElement type="headerRow"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name val="Montserrat"/>
            <family val="3"/>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Worker Records.xlsx]Pivot Table!PivotTable14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Salary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654D09-121D-4126-A981-9DD4FF5DA42D}"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A2788A-F69B-4938-AEAB-6E57B2CCB256}"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A6E5AF-EBFA-44C4-9866-A8B972435862}"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53F3A2-BF8B-4605-BB46-9C481668F263}"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lineChart>
        <c:grouping val="standard"/>
        <c:varyColors val="0"/>
        <c:ser>
          <c:idx val="0"/>
          <c:order val="0"/>
          <c:tx>
            <c:strRef>
              <c:f>'Pivot Table'!$H$8:$H$19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0D28-425B-AE69-33DBF7655C1A}"/>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0D28-425B-AE69-33DBF7655C1A}"/>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0D28-425B-AE69-33DBF7655C1A}"/>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0D28-425B-AE69-33DBF7655C1A}"/>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0D28-425B-AE69-33DBF7655C1A}"/>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0D28-425B-AE69-33DBF7655C1A}"/>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0D28-425B-AE69-33DBF7655C1A}"/>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0D28-425B-AE69-33DBF7655C1A}"/>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0D28-425B-AE69-33DBF7655C1A}"/>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F-0D28-425B-AE69-33DBF7655C1A}"/>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0-0D28-425B-AE69-33DBF7655C1A}"/>
              </c:ext>
            </c:extLst>
          </c:dPt>
          <c:dLbls>
            <c:dLbl>
              <c:idx val="0"/>
              <c:tx>
                <c:rich>
                  <a:bodyPr/>
                  <a:lstStyle/>
                  <a:p>
                    <a:fld id="{D553F3A2-BF8B-4605-BB46-9C481668F26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D28-425B-AE69-33DBF7655C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ln>
              <a:effectLst/>
            </c:spPr>
            <c:trendlineType val="linear"/>
            <c:dispRSqr val="0"/>
            <c:dispEq val="0"/>
          </c:trendline>
          <c:cat>
            <c:strRef>
              <c:f>'Pivot Table'!$H$8:$H$19</c:f>
              <c:strCache>
                <c:ptCount val="1"/>
                <c:pt idx="0">
                  <c:v>January</c:v>
                </c:pt>
              </c:strCache>
            </c:strRef>
          </c:cat>
          <c:val>
            <c:numRef>
              <c:f>'Pivot Table'!$H$8:$H$19</c:f>
              <c:numCache>
                <c:formatCode>"Rp"#,##0.00</c:formatCode>
                <c:ptCount val="1"/>
                <c:pt idx="0">
                  <c:v>0</c:v>
                </c:pt>
              </c:numCache>
            </c:numRef>
          </c:val>
          <c:smooth val="0"/>
          <c:extLst>
            <c:ext xmlns:c15="http://schemas.microsoft.com/office/drawing/2012/chart" uri="{02D57815-91ED-43cb-92C2-25804820EDAC}">
              <c15:datalabelsRange>
                <c15:f>'Pivot Table'!$H$8:$H$19</c15:f>
                <c15:dlblRangeCache>
                  <c:ptCount val="12"/>
                </c15:dlblRangeCache>
              </c15:datalabelsRange>
            </c:ext>
            <c:ext xmlns:c16="http://schemas.microsoft.com/office/drawing/2014/chart" uri="{C3380CC4-5D6E-409C-BE32-E72D297353CC}">
              <c16:uniqueId val="{00000000-0D28-425B-AE69-33DBF7655C1A}"/>
            </c:ext>
          </c:extLst>
        </c:ser>
        <c:dLbls>
          <c:showLegendKey val="0"/>
          <c:showVal val="1"/>
          <c:showCatName val="0"/>
          <c:showSerName val="0"/>
          <c:showPercent val="0"/>
          <c:showBubbleSize val="0"/>
        </c:dLbls>
        <c:marker val="1"/>
        <c:smooth val="0"/>
        <c:axId val="661481920"/>
        <c:axId val="751710416"/>
      </c:lineChart>
      <c:catAx>
        <c:axId val="661481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10416"/>
        <c:crosses val="autoZero"/>
        <c:auto val="1"/>
        <c:lblAlgn val="ctr"/>
        <c:lblOffset val="100"/>
        <c:noMultiLvlLbl val="0"/>
      </c:catAx>
      <c:valAx>
        <c:axId val="75171041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8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[Daily Worker Records.xlsx]Pivot Table!PivotTable15</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r>
              <a:rPr lang="en-US" sz="1200">
                <a:latin typeface="Montserrat" panose="00000800000000000000" pitchFamily="50" charset="0"/>
              </a:rPr>
              <a:t>Attendance Distribution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tint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tint val="65000"/>
            </a:schemeClr>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hade val="65000"/>
            </a:schemeClr>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tint val="65000"/>
            </a:schemeClr>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65000"/>
            </a:schemeClr>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tint val="65000"/>
            </a:schemeClr>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hade val="65000"/>
            </a:schemeClr>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tint val="65000"/>
            </a:schemeClr>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hade val="65000"/>
            </a:schemeClr>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tint val="65000"/>
            </a:schemeClr>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hade val="65000"/>
            </a:schemeClr>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tint val="65000"/>
            </a:schemeClr>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hade val="65000"/>
            </a:schemeClr>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tint val="65000"/>
            </a:schemeClr>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hade val="65000"/>
            </a:schemeClr>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tint val="65000"/>
            </a:schemeClr>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hade val="65000"/>
            </a:schemeClr>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tint val="65000"/>
            </a:schemeClr>
          </a:solidFill>
          <a:ln>
            <a:noFill/>
          </a:ln>
          <a:effectLst>
            <a:outerShdw blurRad="254000" sx="102000" sy="102000" algn="ctr" rotWithShape="0">
              <a:prstClr val="black">
                <a:alpha val="20000"/>
              </a:prstClr>
            </a:outerShdw>
          </a:effectLst>
          <a:sp3d/>
        </c:spPr>
      </c:pivotFmt>
      <c:pivotFmt>
        <c:idx val="46"/>
        <c:spPr>
          <a:solidFill>
            <a:schemeClr val="accent1">
              <a:tint val="77000"/>
            </a:schemeClr>
          </a:solidFill>
          <a:ln>
            <a:noFill/>
          </a:ln>
          <a:effectLst>
            <a:outerShdw blurRad="254000" sx="102000" sy="102000" algn="ctr" rotWithShape="0">
              <a:prstClr val="black">
                <a:alpha val="20000"/>
              </a:prstClr>
            </a:outerShdw>
          </a:effectLst>
          <a:sp3d/>
        </c:spPr>
      </c:pivotFmt>
      <c:pivotFmt>
        <c:idx val="47"/>
        <c:spPr>
          <a:solidFill>
            <a:schemeClr val="accent1">
              <a:tint val="54000"/>
            </a:schemeClr>
          </a:solidFill>
          <a:ln>
            <a:noFill/>
          </a:ln>
          <a:effectLst>
            <a:outerShdw blurRad="254000" sx="102000" sy="102000" algn="ctr" rotWithShape="0">
              <a:prstClr val="black">
                <a:alpha val="20000"/>
              </a:prstClr>
            </a:outerShdw>
          </a:effectLst>
          <a:sp3d/>
        </c:spPr>
      </c:pivotFmt>
      <c:pivotFmt>
        <c:idx val="48"/>
        <c:spPr>
          <a:solidFill>
            <a:schemeClr val="accent1">
              <a:tint val="65000"/>
            </a:schemeClr>
          </a:solidFill>
          <a:ln>
            <a:noFill/>
          </a:ln>
          <a:effectLst>
            <a:outerShdw blurRad="254000" sx="102000" sy="102000" algn="ctr" rotWithShape="0">
              <a:prstClr val="black">
                <a:alpha val="20000"/>
              </a:prstClr>
            </a:outerShdw>
          </a:effectLst>
          <a:sp3d/>
        </c:spPr>
      </c:pivotFmt>
      <c:pivotFmt>
        <c:idx val="49"/>
        <c:spPr>
          <a:solidFill>
            <a:schemeClr val="accent1">
              <a:tint val="65000"/>
            </a:schemeClr>
          </a:solidFill>
          <a:ln>
            <a:noFill/>
          </a:ln>
          <a:effectLst>
            <a:outerShdw blurRad="254000" sx="102000" sy="102000" algn="ctr" rotWithShape="0">
              <a:prstClr val="black">
                <a:alpha val="20000"/>
              </a:prstClr>
            </a:outerShdw>
          </a:effectLst>
          <a:sp3d/>
        </c:spPr>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8DBF-4F79-9093-15C1BD4EC1AC}"/>
              </c:ext>
            </c:extLst>
          </c:dPt>
          <c:dPt>
            <c:idx val="1"/>
            <c:bubble3D val="0"/>
            <c:spPr>
              <a:solidFill>
                <a:schemeClr val="accent1">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8DBF-4F79-9093-15C1BD4EC1AC}"/>
              </c:ext>
            </c:extLst>
          </c:dPt>
          <c:dPt>
            <c:idx val="2"/>
            <c:bubble3D val="0"/>
            <c:spPr>
              <a:solidFill>
                <a:schemeClr val="accent1">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8DBF-4F79-9093-15C1BD4EC1AC}"/>
              </c:ext>
            </c:extLst>
          </c:dPt>
          <c:dPt>
            <c:idx val="3"/>
            <c:bubble3D val="0"/>
            <c:spPr>
              <a:solidFill>
                <a:schemeClr val="accent1">
                  <a:tint val="9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C77-4061-BC19-4C76D2499351}"/>
              </c:ext>
            </c:extLst>
          </c:dPt>
          <c:dPt>
            <c:idx val="4"/>
            <c:bubble3D val="0"/>
            <c:spPr>
              <a:solidFill>
                <a:schemeClr val="accent1">
                  <a:tint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C77-4061-BC19-4C76D2499351}"/>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Table'!$J$2:$J$3</c:f>
              <c:strCache>
                <c:ptCount val="1"/>
                <c:pt idx="0">
                  <c:v>OFF</c:v>
                </c:pt>
              </c:strCache>
            </c:strRef>
          </c:cat>
          <c:val>
            <c:numRef>
              <c:f>'Pivot Table'!$K$2:$K$3</c:f>
              <c:numCache>
                <c:formatCode>General</c:formatCode>
                <c:ptCount val="1"/>
                <c:pt idx="0">
                  <c:v>1</c:v>
                </c:pt>
              </c:numCache>
            </c:numRef>
          </c:val>
          <c:extLst>
            <c:ext xmlns:c16="http://schemas.microsoft.com/office/drawing/2014/chart" uri="{C3380CC4-5D6E-409C-BE32-E72D297353CC}">
              <c16:uniqueId val="{0000001F-8DBF-4F79-9093-15C1BD4EC1AC}"/>
            </c:ext>
          </c:extLst>
        </c:ser>
        <c:dLbls>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[Daily Worker Records.xlsx]Pivot Table!PivotTable23</c:name>
    <c:fmtId val="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r>
              <a:rPr lang="en-ID" sz="1200">
                <a:latin typeface="Montserrat" panose="00000800000000000000" pitchFamily="50" charset="0"/>
              </a:rPr>
              <a:t>Deduction Distribution</a:t>
            </a:r>
          </a:p>
        </c:rich>
      </c:tx>
      <c:layout>
        <c:manualLayout>
          <c:xMode val="edge"/>
          <c:yMode val="edge"/>
          <c:x val="0.28368692877736634"/>
          <c:y val="4.488195515691897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ontserrat" panose="00000800000000000000" pitchFamily="50"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a:sp3d/>
        </c:spPr>
      </c:pivotFmt>
      <c:pivotFmt>
        <c:idx val="6"/>
        <c:spPr>
          <a:solidFill>
            <a:schemeClr val="accent1">
              <a:tint val="77000"/>
            </a:schemeClr>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76000"/>
            </a:schemeClr>
          </a:solidFill>
          <a:ln>
            <a:noFill/>
          </a:ln>
          <a:effectLst>
            <a:outerShdw blurRad="254000" sx="102000" sy="102000" algn="ctr" rotWithShape="0">
              <a:prstClr val="black">
                <a:alpha val="20000"/>
              </a:prstClr>
            </a:outerShdw>
          </a:effectLst>
          <a:sp3d/>
        </c:spPr>
      </c:pivotFmt>
      <c:pivotFmt>
        <c:idx val="11"/>
        <c:spPr>
          <a:solidFill>
            <a:schemeClr val="accent1">
              <a:tint val="77000"/>
            </a:schemeClr>
          </a:solidFill>
          <a:ln>
            <a:noFill/>
          </a:ln>
          <a:effectLst>
            <a:outerShdw blurRad="254000" sx="102000" sy="102000" algn="ctr" rotWithShape="0">
              <a:prstClr val="black">
                <a:alpha val="20000"/>
              </a:prstClr>
            </a:outerShdw>
          </a:effectLst>
          <a:sp3d/>
        </c:spPr>
      </c:pivotFmt>
      <c:pivotFmt>
        <c:idx val="12"/>
        <c:spPr>
          <a:solidFill>
            <a:schemeClr val="accent1">
              <a:shade val="65000"/>
            </a:schemeClr>
          </a:solidFill>
          <a:ln>
            <a:noFill/>
          </a:ln>
          <a:effectLst>
            <a:outerShdw blurRad="254000" sx="102000" sy="102000" algn="ctr" rotWithShape="0">
              <a:prstClr val="black">
                <a:alpha val="20000"/>
              </a:prstClr>
            </a:outerShdw>
          </a:effectLst>
          <a:sp3d/>
        </c:spPr>
      </c:pivotFmt>
      <c:pivotFmt>
        <c:idx val="13"/>
        <c:spPr>
          <a:solidFill>
            <a:schemeClr val="accent1">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33B-4408-85B6-3F2E14148847}"/>
              </c:ext>
            </c:extLst>
          </c:dPt>
          <c:dPt>
            <c:idx val="1"/>
            <c:bubble3D val="0"/>
            <c:spPr>
              <a:solidFill>
                <a:schemeClr val="accent1">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33B-4408-85B6-3F2E14148847}"/>
              </c:ext>
            </c:extLst>
          </c:dPt>
          <c:dPt>
            <c:idx val="2"/>
            <c:bubble3D val="0"/>
            <c:spPr>
              <a:solidFill>
                <a:schemeClr val="accent1">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1BF-4BF5-87A4-AF7B38E49B48}"/>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Table'!$E$23</c:f>
              <c:strCache>
                <c:ptCount val="1"/>
                <c:pt idx="0">
                  <c:v>Grand Total</c:v>
                </c:pt>
              </c:strCache>
            </c:strRef>
          </c:cat>
          <c:val>
            <c:numRef>
              <c:f>'Pivot Table'!$F$23</c:f>
              <c:numCache>
                <c:formatCode>"Rp"#,##0.00</c:formatCode>
                <c:ptCount val="1"/>
              </c:numCache>
            </c:numRef>
          </c:val>
          <c:extLst>
            <c:ext xmlns:c16="http://schemas.microsoft.com/office/drawing/2014/chart" uri="{C3380CC4-5D6E-409C-BE32-E72D297353CC}">
              <c16:uniqueId val="{00000003-067A-40A0-99D5-3BF29E3335EE}"/>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8874</xdr:rowOff>
    </xdr:from>
    <xdr:to>
      <xdr:col>19</xdr:col>
      <xdr:colOff>117600</xdr:colOff>
      <xdr:row>6</xdr:row>
      <xdr:rowOff>13109</xdr:rowOff>
    </xdr:to>
    <xdr:sp macro="" textlink="">
      <xdr:nvSpPr>
        <xdr:cNvPr id="7" name="Rectangle: Top Corners Rounded 6">
          <a:extLst>
            <a:ext uri="{FF2B5EF4-FFF2-40B4-BE49-F238E27FC236}">
              <a16:creationId xmlns:a16="http://schemas.microsoft.com/office/drawing/2014/main" id="{84D5B7F6-F960-63BF-1FD6-CC9325835F14}"/>
            </a:ext>
          </a:extLst>
        </xdr:cNvPr>
        <xdr:cNvSpPr>
          <a:spLocks/>
        </xdr:cNvSpPr>
      </xdr:nvSpPr>
      <xdr:spPr>
        <a:xfrm rot="10800000">
          <a:off x="0" y="8874"/>
          <a:ext cx="11700000" cy="1114578"/>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198070</xdr:colOff>
      <xdr:row>1</xdr:row>
      <xdr:rowOff>103607</xdr:rowOff>
    </xdr:from>
    <xdr:to>
      <xdr:col>13</xdr:col>
      <xdr:colOff>507670</xdr:colOff>
      <xdr:row>3</xdr:row>
      <xdr:rowOff>97847</xdr:rowOff>
    </xdr:to>
    <xdr:sp macro="" textlink="">
      <xdr:nvSpPr>
        <xdr:cNvPr id="8" name="TextBox 7">
          <a:extLst>
            <a:ext uri="{FF2B5EF4-FFF2-40B4-BE49-F238E27FC236}">
              <a16:creationId xmlns:a16="http://schemas.microsoft.com/office/drawing/2014/main" id="{8386C187-B75C-2B94-0D89-565D566DC160}"/>
            </a:ext>
          </a:extLst>
        </xdr:cNvPr>
        <xdr:cNvSpPr txBox="1"/>
      </xdr:nvSpPr>
      <xdr:spPr>
        <a:xfrm>
          <a:off x="2636470" y="282901"/>
          <a:ext cx="5796000" cy="352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2"/>
              </a:solidFill>
              <a:latin typeface="Montserrat" panose="00000800000000000000" pitchFamily="50" charset="0"/>
            </a:rPr>
            <a:t>Attendance Track &amp; Earnings Overview</a:t>
          </a:r>
        </a:p>
      </xdr:txBody>
    </xdr:sp>
    <xdr:clientData/>
  </xdr:twoCellAnchor>
  <xdr:twoCellAnchor>
    <xdr:from>
      <xdr:col>3</xdr:col>
      <xdr:colOff>445734</xdr:colOff>
      <xdr:row>5</xdr:row>
      <xdr:rowOff>55466</xdr:rowOff>
    </xdr:from>
    <xdr:to>
      <xdr:col>15</xdr:col>
      <xdr:colOff>69294</xdr:colOff>
      <xdr:row>10</xdr:row>
      <xdr:rowOff>41066</xdr:rowOff>
    </xdr:to>
    <xdr:grpSp>
      <xdr:nvGrpSpPr>
        <xdr:cNvPr id="25" name="Group 24">
          <a:extLst>
            <a:ext uri="{FF2B5EF4-FFF2-40B4-BE49-F238E27FC236}">
              <a16:creationId xmlns:a16="http://schemas.microsoft.com/office/drawing/2014/main" id="{C9B49E61-82DA-D029-2685-7F4FD7E4B463}"/>
            </a:ext>
          </a:extLst>
        </xdr:cNvPr>
        <xdr:cNvGrpSpPr/>
      </xdr:nvGrpSpPr>
      <xdr:grpSpPr>
        <a:xfrm>
          <a:off x="2274534" y="951937"/>
          <a:ext cx="6938760" cy="882070"/>
          <a:chOff x="2133600" y="941070"/>
          <a:chExt cx="6938760" cy="900000"/>
        </a:xfrm>
      </xdr:grpSpPr>
      <xdr:grpSp>
        <xdr:nvGrpSpPr>
          <xdr:cNvPr id="24" name="Group 23">
            <a:extLst>
              <a:ext uri="{FF2B5EF4-FFF2-40B4-BE49-F238E27FC236}">
                <a16:creationId xmlns:a16="http://schemas.microsoft.com/office/drawing/2014/main" id="{DBFF0A1D-3D61-729D-FBCC-92399ED17D0F}"/>
              </a:ext>
            </a:extLst>
          </xdr:cNvPr>
          <xdr:cNvGrpSpPr/>
        </xdr:nvGrpSpPr>
        <xdr:grpSpPr>
          <a:xfrm>
            <a:off x="2133600" y="941070"/>
            <a:ext cx="1620000" cy="900000"/>
            <a:chOff x="2133600" y="975360"/>
            <a:chExt cx="1620000" cy="900000"/>
          </a:xfrm>
        </xdr:grpSpPr>
        <xdr:sp macro="" textlink="">
          <xdr:nvSpPr>
            <xdr:cNvPr id="9" name="Rectangle: Rounded Corners 8">
              <a:extLst>
                <a:ext uri="{FF2B5EF4-FFF2-40B4-BE49-F238E27FC236}">
                  <a16:creationId xmlns:a16="http://schemas.microsoft.com/office/drawing/2014/main" id="{EEBC34D8-5A02-FC47-386C-A07E3AF9AF88}"/>
                </a:ext>
              </a:extLst>
            </xdr:cNvPr>
            <xdr:cNvSpPr/>
          </xdr:nvSpPr>
          <xdr:spPr>
            <a:xfrm>
              <a:off x="2133600" y="97536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WORKING DAYS</a:t>
              </a:r>
            </a:p>
            <a:p>
              <a:pPr algn="ctr"/>
              <a:r>
                <a:rPr lang="en-ID" sz="800" baseline="0">
                  <a:solidFill>
                    <a:schemeClr val="accent1"/>
                  </a:solidFill>
                  <a:latin typeface="Montserrat" panose="00000800000000000000" pitchFamily="50" charset="0"/>
                </a:rPr>
                <a:t>(DAYS)</a:t>
              </a:r>
            </a:p>
          </xdr:txBody>
        </xdr:sp>
        <xdr:sp macro="" textlink="'Pivot Table'!M1">
          <xdr:nvSpPr>
            <xdr:cNvPr id="14" name="TextBox 13">
              <a:extLst>
                <a:ext uri="{FF2B5EF4-FFF2-40B4-BE49-F238E27FC236}">
                  <a16:creationId xmlns:a16="http://schemas.microsoft.com/office/drawing/2014/main" id="{BDE4AD2B-A632-ECA9-6491-68BDA5B67FD9}"/>
                </a:ext>
              </a:extLst>
            </xdr:cNvPr>
            <xdr:cNvSpPr txBox="1"/>
          </xdr:nvSpPr>
          <xdr:spPr>
            <a:xfrm>
              <a:off x="2387340" y="136677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24942-EB22-4EE7-A2CF-D21C55BED0EF}" type="TxLink">
                <a:rPr lang="en-US" sz="2000" b="0" i="0" u="none" strike="noStrike">
                  <a:solidFill>
                    <a:schemeClr val="accent1"/>
                  </a:solidFill>
                  <a:latin typeface="Montserrat" panose="00000800000000000000" pitchFamily="50" charset="0"/>
                </a:rPr>
                <a:pPr algn="ctr"/>
                <a:t>0</a:t>
              </a:fld>
              <a:endParaRPr lang="en-ID" sz="2000" b="1">
                <a:solidFill>
                  <a:schemeClr val="accent1"/>
                </a:solidFill>
                <a:latin typeface="Montserrat" panose="00000800000000000000" pitchFamily="50" charset="0"/>
              </a:endParaRPr>
            </a:p>
          </xdr:txBody>
        </xdr:sp>
      </xdr:grpSp>
      <xdr:grpSp>
        <xdr:nvGrpSpPr>
          <xdr:cNvPr id="23" name="Group 22">
            <a:extLst>
              <a:ext uri="{FF2B5EF4-FFF2-40B4-BE49-F238E27FC236}">
                <a16:creationId xmlns:a16="http://schemas.microsoft.com/office/drawing/2014/main" id="{4E1593B8-1738-9D64-0850-A70812430CDD}"/>
              </a:ext>
            </a:extLst>
          </xdr:cNvPr>
          <xdr:cNvGrpSpPr/>
        </xdr:nvGrpSpPr>
        <xdr:grpSpPr>
          <a:xfrm>
            <a:off x="3906520" y="941070"/>
            <a:ext cx="1620000" cy="900000"/>
            <a:chOff x="3848100" y="1005840"/>
            <a:chExt cx="1620000" cy="900000"/>
          </a:xfrm>
        </xdr:grpSpPr>
        <xdr:sp macro="" textlink="">
          <xdr:nvSpPr>
            <xdr:cNvPr id="15" name="Rectangle: Rounded Corners 14">
              <a:extLst>
                <a:ext uri="{FF2B5EF4-FFF2-40B4-BE49-F238E27FC236}">
                  <a16:creationId xmlns:a16="http://schemas.microsoft.com/office/drawing/2014/main" id="{8087386D-F6C0-43A7-B0B4-C096DB520E34}"/>
                </a:ext>
              </a:extLst>
            </xdr:cNvPr>
            <xdr:cNvSpPr/>
          </xdr:nvSpPr>
          <xdr:spPr>
            <a:xfrm>
              <a:off x="3848100" y="100584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HOLIDAY OVERTIME</a:t>
              </a:r>
            </a:p>
            <a:p>
              <a:pPr algn="ctr"/>
              <a:r>
                <a:rPr lang="en-ID" sz="800" baseline="0">
                  <a:solidFill>
                    <a:schemeClr val="accent1"/>
                  </a:solidFill>
                  <a:latin typeface="Montserrat" panose="00000800000000000000" pitchFamily="50" charset="0"/>
                </a:rPr>
                <a:t>(TIMES)</a:t>
              </a:r>
            </a:p>
          </xdr:txBody>
        </xdr:sp>
        <xdr:sp macro="" textlink="'Pivot Table'!M4">
          <xdr:nvSpPr>
            <xdr:cNvPr id="16" name="TextBox 15">
              <a:extLst>
                <a:ext uri="{FF2B5EF4-FFF2-40B4-BE49-F238E27FC236}">
                  <a16:creationId xmlns:a16="http://schemas.microsoft.com/office/drawing/2014/main" id="{B05952FC-A622-4CE4-B322-579AFA13B30D}"/>
                </a:ext>
              </a:extLst>
            </xdr:cNvPr>
            <xdr:cNvSpPr txBox="1"/>
          </xdr:nvSpPr>
          <xdr:spPr>
            <a:xfrm>
              <a:off x="4101840" y="139725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FE9532-60AB-416E-B8C5-E80F2092D9EC}" type="TxLink">
                <a:rPr lang="en-US" sz="2000" b="0" i="0" u="none" strike="noStrike">
                  <a:solidFill>
                    <a:schemeClr val="accent1"/>
                  </a:solidFill>
                  <a:latin typeface="Montserrat" panose="00000800000000000000" pitchFamily="50" charset="0"/>
                </a:rPr>
                <a:pPr algn="ctr"/>
                <a:t>0</a:t>
              </a:fld>
              <a:endParaRPr lang="en-ID" sz="2000" b="1">
                <a:solidFill>
                  <a:schemeClr val="accent1"/>
                </a:solidFill>
                <a:latin typeface="Montserrat" panose="00000800000000000000" pitchFamily="50" charset="0"/>
              </a:endParaRPr>
            </a:p>
          </xdr:txBody>
        </xdr:sp>
      </xdr:grpSp>
      <xdr:grpSp>
        <xdr:nvGrpSpPr>
          <xdr:cNvPr id="22" name="Group 21">
            <a:extLst>
              <a:ext uri="{FF2B5EF4-FFF2-40B4-BE49-F238E27FC236}">
                <a16:creationId xmlns:a16="http://schemas.microsoft.com/office/drawing/2014/main" id="{5B43DEBE-B132-AE73-775C-6E2A45606E56}"/>
              </a:ext>
            </a:extLst>
          </xdr:cNvPr>
          <xdr:cNvGrpSpPr/>
        </xdr:nvGrpSpPr>
        <xdr:grpSpPr>
          <a:xfrm>
            <a:off x="5679440" y="941070"/>
            <a:ext cx="1620000" cy="900000"/>
            <a:chOff x="5646420" y="937260"/>
            <a:chExt cx="1620000" cy="900000"/>
          </a:xfrm>
        </xdr:grpSpPr>
        <xdr:sp macro="" textlink="">
          <xdr:nvSpPr>
            <xdr:cNvPr id="17" name="Rectangle: Rounded Corners 16">
              <a:extLst>
                <a:ext uri="{FF2B5EF4-FFF2-40B4-BE49-F238E27FC236}">
                  <a16:creationId xmlns:a16="http://schemas.microsoft.com/office/drawing/2014/main" id="{5054E50C-9E41-46DC-89BF-379EF6A021DB}"/>
                </a:ext>
              </a:extLst>
            </xdr:cNvPr>
            <xdr:cNvSpPr/>
          </xdr:nvSpPr>
          <xdr:spPr>
            <a:xfrm>
              <a:off x="5646420" y="93726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baseline="0">
                  <a:solidFill>
                    <a:schemeClr val="accent1"/>
                  </a:solidFill>
                  <a:latin typeface="Montserrat" panose="00000800000000000000" pitchFamily="50" charset="0"/>
                </a:rPr>
                <a:t>TOTAL OVERTIME</a:t>
              </a:r>
            </a:p>
            <a:p>
              <a:pPr algn="ctr"/>
              <a:r>
                <a:rPr lang="en-ID" sz="800" baseline="0">
                  <a:solidFill>
                    <a:schemeClr val="accent1"/>
                  </a:solidFill>
                  <a:latin typeface="Montserrat" panose="00000800000000000000" pitchFamily="50" charset="0"/>
                </a:rPr>
                <a:t>(TIMES)</a:t>
              </a:r>
            </a:p>
          </xdr:txBody>
        </xdr:sp>
        <xdr:sp macro="" textlink="'Pivot Table'!M3">
          <xdr:nvSpPr>
            <xdr:cNvPr id="18" name="TextBox 17">
              <a:extLst>
                <a:ext uri="{FF2B5EF4-FFF2-40B4-BE49-F238E27FC236}">
                  <a16:creationId xmlns:a16="http://schemas.microsoft.com/office/drawing/2014/main" id="{6F928FD1-E238-4B55-AB7E-5C219929A09B}"/>
                </a:ext>
              </a:extLst>
            </xdr:cNvPr>
            <xdr:cNvSpPr txBox="1"/>
          </xdr:nvSpPr>
          <xdr:spPr>
            <a:xfrm>
              <a:off x="5900160" y="132867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E0962A-FA87-4024-958E-46144F5758B9}" type="TxLink">
                <a:rPr lang="en-US" sz="2000" b="0" i="0" u="none" strike="noStrike">
                  <a:solidFill>
                    <a:schemeClr val="accent1"/>
                  </a:solidFill>
                  <a:latin typeface="Montserrat" panose="00000800000000000000" pitchFamily="50" charset="0"/>
                </a:rPr>
                <a:pPr algn="ctr"/>
                <a:t>0</a:t>
              </a:fld>
              <a:endParaRPr lang="en-ID" sz="2000" b="1">
                <a:solidFill>
                  <a:schemeClr val="accent1"/>
                </a:solidFill>
                <a:latin typeface="Montserrat" panose="00000800000000000000" pitchFamily="50" charset="0"/>
              </a:endParaRPr>
            </a:p>
          </xdr:txBody>
        </xdr:sp>
      </xdr:grpSp>
      <xdr:grpSp>
        <xdr:nvGrpSpPr>
          <xdr:cNvPr id="21" name="Group 20">
            <a:extLst>
              <a:ext uri="{FF2B5EF4-FFF2-40B4-BE49-F238E27FC236}">
                <a16:creationId xmlns:a16="http://schemas.microsoft.com/office/drawing/2014/main" id="{91740E38-3B9F-88C2-FB90-4ACDFD9D407D}"/>
              </a:ext>
            </a:extLst>
          </xdr:cNvPr>
          <xdr:cNvGrpSpPr/>
        </xdr:nvGrpSpPr>
        <xdr:grpSpPr>
          <a:xfrm>
            <a:off x="7452360" y="941070"/>
            <a:ext cx="1620000" cy="900000"/>
            <a:chOff x="7452360" y="876300"/>
            <a:chExt cx="1620000" cy="900000"/>
          </a:xfrm>
        </xdr:grpSpPr>
        <xdr:sp macro="" textlink="">
          <xdr:nvSpPr>
            <xdr:cNvPr id="19" name="Rectangle: Rounded Corners 18">
              <a:extLst>
                <a:ext uri="{FF2B5EF4-FFF2-40B4-BE49-F238E27FC236}">
                  <a16:creationId xmlns:a16="http://schemas.microsoft.com/office/drawing/2014/main" id="{86D865E2-FE07-4E08-A708-999BAABAACDC}"/>
                </a:ext>
              </a:extLst>
            </xdr:cNvPr>
            <xdr:cNvSpPr/>
          </xdr:nvSpPr>
          <xdr:spPr>
            <a:xfrm>
              <a:off x="7452360" y="876300"/>
              <a:ext cx="162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800">
                  <a:solidFill>
                    <a:schemeClr val="accent1"/>
                  </a:solidFill>
                  <a:latin typeface="Montserrat" panose="00000800000000000000" pitchFamily="50" charset="0"/>
                </a:rPr>
                <a:t>TOTAL OFF</a:t>
              </a:r>
            </a:p>
            <a:p>
              <a:pPr algn="ctr"/>
              <a:r>
                <a:rPr lang="en-ID" sz="800">
                  <a:solidFill>
                    <a:schemeClr val="accent1"/>
                  </a:solidFill>
                  <a:latin typeface="Montserrat" panose="00000800000000000000" pitchFamily="50" charset="0"/>
                </a:rPr>
                <a:t>(DAYS)</a:t>
              </a:r>
            </a:p>
          </xdr:txBody>
        </xdr:sp>
        <xdr:sp macro="" textlink="'Pivot Table'!M2">
          <xdr:nvSpPr>
            <xdr:cNvPr id="20" name="TextBox 19">
              <a:extLst>
                <a:ext uri="{FF2B5EF4-FFF2-40B4-BE49-F238E27FC236}">
                  <a16:creationId xmlns:a16="http://schemas.microsoft.com/office/drawing/2014/main" id="{F7A9E0A4-6DA6-4AD7-AEA4-49D13EA37233}"/>
                </a:ext>
              </a:extLst>
            </xdr:cNvPr>
            <xdr:cNvSpPr txBox="1"/>
          </xdr:nvSpPr>
          <xdr:spPr>
            <a:xfrm>
              <a:off x="7660380" y="1267710"/>
              <a:ext cx="111252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44AF86-ECE1-472A-853B-15EF94A9C228}" type="TxLink">
                <a:rPr lang="en-US" sz="2000" b="0" i="0" u="none" strike="noStrike">
                  <a:solidFill>
                    <a:schemeClr val="accent1"/>
                  </a:solidFill>
                  <a:latin typeface="Montserrat" panose="00000800000000000000" pitchFamily="50" charset="0"/>
                </a:rPr>
                <a:pPr algn="ctr"/>
                <a:t>1</a:t>
              </a:fld>
              <a:endParaRPr lang="en-ID" sz="2000" b="1">
                <a:solidFill>
                  <a:schemeClr val="accent1"/>
                </a:solidFill>
                <a:latin typeface="Montserrat" panose="00000800000000000000" pitchFamily="50" charset="0"/>
              </a:endParaRPr>
            </a:p>
          </xdr:txBody>
        </xdr:sp>
      </xdr:grpSp>
    </xdr:grpSp>
    <xdr:clientData/>
  </xdr:twoCellAnchor>
  <xdr:twoCellAnchor>
    <xdr:from>
      <xdr:col>0</xdr:col>
      <xdr:colOff>0</xdr:colOff>
      <xdr:row>0</xdr:row>
      <xdr:rowOff>85050</xdr:rowOff>
    </xdr:from>
    <xdr:to>
      <xdr:col>3</xdr:col>
      <xdr:colOff>331200</xdr:colOff>
      <xdr:row>16</xdr:row>
      <xdr:rowOff>153438</xdr:rowOff>
    </xdr:to>
    <xdr:grpSp>
      <xdr:nvGrpSpPr>
        <xdr:cNvPr id="30" name="Group 29">
          <a:extLst>
            <a:ext uri="{FF2B5EF4-FFF2-40B4-BE49-F238E27FC236}">
              <a16:creationId xmlns:a16="http://schemas.microsoft.com/office/drawing/2014/main" id="{08E2BE82-ACB1-F99C-FC22-0C2DD5A25086}"/>
            </a:ext>
          </a:extLst>
        </xdr:cNvPr>
        <xdr:cNvGrpSpPr>
          <a:grpSpLocks noChangeAspect="1"/>
        </xdr:cNvGrpSpPr>
      </xdr:nvGrpSpPr>
      <xdr:grpSpPr>
        <a:xfrm>
          <a:off x="0" y="85050"/>
          <a:ext cx="2160000" cy="2937094"/>
          <a:chOff x="4625787" y="2804036"/>
          <a:chExt cx="2160000" cy="2932343"/>
        </a:xfrm>
        <a:effectLst>
          <a:outerShdw blurRad="50800" dist="38100" dir="5400000" algn="t"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AAF70E06-D642-B42C-5437-613548346FB3}"/>
              </a:ext>
            </a:extLst>
          </xdr:cNvPr>
          <xdr:cNvSpPr/>
        </xdr:nvSpPr>
        <xdr:spPr>
          <a:xfrm rot="10800000">
            <a:off x="4625787" y="3671069"/>
            <a:ext cx="2160000" cy="2065310"/>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29" name="Group 28">
            <a:extLst>
              <a:ext uri="{FF2B5EF4-FFF2-40B4-BE49-F238E27FC236}">
                <a16:creationId xmlns:a16="http://schemas.microsoft.com/office/drawing/2014/main" id="{DB1DB4B5-939C-2A9D-D3BB-689A483DB5A8}"/>
              </a:ext>
            </a:extLst>
          </xdr:cNvPr>
          <xdr:cNvGrpSpPr/>
        </xdr:nvGrpSpPr>
        <xdr:grpSpPr>
          <a:xfrm>
            <a:off x="4805788" y="2804036"/>
            <a:ext cx="1800000" cy="2849385"/>
            <a:chOff x="4707815" y="2693446"/>
            <a:chExt cx="1800000" cy="2849385"/>
          </a:xfrm>
        </xdr:grpSpPr>
        <mc:AlternateContent xmlns:mc="http://schemas.openxmlformats.org/markup-compatibility/2006" xmlns:a14="http://schemas.microsoft.com/office/drawing/2010/main">
          <mc:Choice Requires="a14">
            <xdr:graphicFrame macro="">
              <xdr:nvGraphicFramePr>
                <xdr:cNvPr id="26" name="Payroll Month">
                  <a:extLst>
                    <a:ext uri="{FF2B5EF4-FFF2-40B4-BE49-F238E27FC236}">
                      <a16:creationId xmlns:a16="http://schemas.microsoft.com/office/drawing/2014/main" id="{1E489E66-0D2C-4FB7-8981-152C9022DE8B}"/>
                    </a:ext>
                  </a:extLst>
                </xdr:cNvPr>
                <xdr:cNvGraphicFramePr>
                  <a:graphicFrameLocks noChangeAspect="1"/>
                </xdr:cNvGraphicFramePr>
              </xdr:nvGraphicFramePr>
              <xdr:xfrm>
                <a:off x="4707815" y="3425862"/>
                <a:ext cx="1800000" cy="2116969"/>
              </xdr:xfrm>
              <a:graphic>
                <a:graphicData uri="http://schemas.microsoft.com/office/drawing/2010/slicer">
                  <sle:slicer xmlns:sle="http://schemas.microsoft.com/office/drawing/2010/slicer" name="Payroll Month"/>
                </a:graphicData>
              </a:graphic>
            </xdr:graphicFrame>
          </mc:Choice>
          <mc:Fallback xmlns="">
            <xdr:sp macro="" textlink="">
              <xdr:nvSpPr>
                <xdr:cNvPr id="0" name=""/>
                <xdr:cNvSpPr>
                  <a:spLocks noTextEdit="1"/>
                </xdr:cNvSpPr>
              </xdr:nvSpPr>
              <xdr:spPr>
                <a:xfrm>
                  <a:off x="180001" y="846517"/>
                  <a:ext cx="1800000" cy="22009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Payroll Year">
                  <a:extLst>
                    <a:ext uri="{FF2B5EF4-FFF2-40B4-BE49-F238E27FC236}">
                      <a16:creationId xmlns:a16="http://schemas.microsoft.com/office/drawing/2014/main" id="{3917147D-14A3-44E1-BA37-D373F6442194}"/>
                    </a:ext>
                  </a:extLst>
                </xdr:cNvPr>
                <xdr:cNvGraphicFramePr/>
              </xdr:nvGraphicFramePr>
              <xdr:xfrm>
                <a:off x="4707815" y="2693446"/>
                <a:ext cx="1800000" cy="705657"/>
              </xdr:xfrm>
              <a:graphic>
                <a:graphicData uri="http://schemas.microsoft.com/office/drawing/2010/slicer">
                  <sle:slicer xmlns:sle="http://schemas.microsoft.com/office/drawing/2010/slicer" name="Payroll Year"/>
                </a:graphicData>
              </a:graphic>
            </xdr:graphicFrame>
          </mc:Choice>
          <mc:Fallback xmlns="">
            <xdr:sp macro="" textlink="">
              <xdr:nvSpPr>
                <xdr:cNvPr id="0" name=""/>
                <xdr:cNvSpPr>
                  <a:spLocks noTextEdit="1"/>
                </xdr:cNvSpPr>
              </xdr:nvSpPr>
              <xdr:spPr>
                <a:xfrm>
                  <a:off x="180001" y="85050"/>
                  <a:ext cx="1800000" cy="7336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3</xdr:col>
      <xdr:colOff>445734</xdr:colOff>
      <xdr:row>11</xdr:row>
      <xdr:rowOff>0</xdr:rowOff>
    </xdr:from>
    <xdr:to>
      <xdr:col>15</xdr:col>
      <xdr:colOff>110722</xdr:colOff>
      <xdr:row>17</xdr:row>
      <xdr:rowOff>4235</xdr:rowOff>
    </xdr:to>
    <xdr:grpSp>
      <xdr:nvGrpSpPr>
        <xdr:cNvPr id="47" name="Group 46">
          <a:extLst>
            <a:ext uri="{FF2B5EF4-FFF2-40B4-BE49-F238E27FC236}">
              <a16:creationId xmlns:a16="http://schemas.microsoft.com/office/drawing/2014/main" id="{BF6FE527-69D0-CF90-2545-496EDF1BF329}"/>
            </a:ext>
          </a:extLst>
        </xdr:cNvPr>
        <xdr:cNvGrpSpPr/>
      </xdr:nvGrpSpPr>
      <xdr:grpSpPr>
        <a:xfrm>
          <a:off x="2274534" y="1972235"/>
          <a:ext cx="6980188" cy="1080000"/>
          <a:chOff x="2274533" y="1916968"/>
          <a:chExt cx="6980188" cy="900002"/>
        </a:xfrm>
        <a:solidFill>
          <a:schemeClr val="accent1"/>
        </a:solidFill>
      </xdr:grpSpPr>
      <xdr:grpSp>
        <xdr:nvGrpSpPr>
          <xdr:cNvPr id="32" name="Group 31">
            <a:extLst>
              <a:ext uri="{FF2B5EF4-FFF2-40B4-BE49-F238E27FC236}">
                <a16:creationId xmlns:a16="http://schemas.microsoft.com/office/drawing/2014/main" id="{D6ECC5D2-A59D-0429-B91E-D3BD2BFAA4AD}"/>
              </a:ext>
            </a:extLst>
          </xdr:cNvPr>
          <xdr:cNvGrpSpPr/>
        </xdr:nvGrpSpPr>
        <xdr:grpSpPr>
          <a:xfrm>
            <a:off x="2274533" y="1916970"/>
            <a:ext cx="2268000" cy="900000"/>
            <a:chOff x="2133599" y="975360"/>
            <a:chExt cx="1620000" cy="625441"/>
          </a:xfrm>
          <a:grpFill/>
        </xdr:grpSpPr>
        <xdr:sp macro="" textlink="">
          <xdr:nvSpPr>
            <xdr:cNvPr id="42" name="Rectangle: Rounded Corners 41">
              <a:extLst>
                <a:ext uri="{FF2B5EF4-FFF2-40B4-BE49-F238E27FC236}">
                  <a16:creationId xmlns:a16="http://schemas.microsoft.com/office/drawing/2014/main" id="{42992B6A-41CE-8D83-F2AF-6EBFE1792F8B}"/>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bg1"/>
                  </a:solidFill>
                  <a:latin typeface="Montserrat" panose="00000800000000000000" pitchFamily="50" charset="0"/>
                </a:rPr>
                <a:t>GROSS SALARY</a:t>
              </a:r>
            </a:p>
          </xdr:txBody>
        </xdr:sp>
        <xdr:sp macro="" textlink="'Pivot Table'!E5">
          <xdr:nvSpPr>
            <xdr:cNvPr id="43" name="TextBox 42">
              <a:extLst>
                <a:ext uri="{FF2B5EF4-FFF2-40B4-BE49-F238E27FC236}">
                  <a16:creationId xmlns:a16="http://schemas.microsoft.com/office/drawing/2014/main" id="{BB9B5ACA-CCEA-D178-2630-1BD43D5624CE}"/>
                </a:ext>
              </a:extLst>
            </xdr:cNvPr>
            <xdr:cNvSpPr txBox="1"/>
          </xdr:nvSpPr>
          <xdr:spPr>
            <a:xfrm>
              <a:off x="2387340" y="1262474"/>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80B258-CD7C-48D5-9151-E9A226B7001C}" type="TxLink">
                <a:rPr lang="en-US" sz="1400" b="0" i="0" u="none" strike="noStrike">
                  <a:solidFill>
                    <a:schemeClr val="accent1"/>
                  </a:solidFill>
                  <a:latin typeface="Montserrat" panose="00000800000000000000" pitchFamily="50" charset="0"/>
                </a:rPr>
                <a:pPr algn="ctr"/>
                <a:t>Rp0,00</a:t>
              </a:fld>
              <a:endParaRPr lang="en-ID" sz="1400" b="1">
                <a:solidFill>
                  <a:schemeClr val="accent1"/>
                </a:solidFill>
                <a:latin typeface="Montserrat" panose="00000800000000000000" pitchFamily="50" charset="0"/>
              </a:endParaRPr>
            </a:p>
          </xdr:txBody>
        </xdr:sp>
      </xdr:grpSp>
      <xdr:grpSp>
        <xdr:nvGrpSpPr>
          <xdr:cNvPr id="35" name="Group 34">
            <a:extLst>
              <a:ext uri="{FF2B5EF4-FFF2-40B4-BE49-F238E27FC236}">
                <a16:creationId xmlns:a16="http://schemas.microsoft.com/office/drawing/2014/main" id="{9D3AC48A-4EEE-0D41-5BD1-B0B44398C633}"/>
              </a:ext>
            </a:extLst>
          </xdr:cNvPr>
          <xdr:cNvGrpSpPr/>
        </xdr:nvGrpSpPr>
        <xdr:grpSpPr>
          <a:xfrm>
            <a:off x="4630627" y="1916968"/>
            <a:ext cx="2268000" cy="900000"/>
            <a:chOff x="7452359" y="876301"/>
            <a:chExt cx="1620000" cy="625441"/>
          </a:xfrm>
          <a:grpFill/>
        </xdr:grpSpPr>
        <xdr:sp macro="" textlink="">
          <xdr:nvSpPr>
            <xdr:cNvPr id="36" name="Rectangle: Rounded Corners 35">
              <a:extLst>
                <a:ext uri="{FF2B5EF4-FFF2-40B4-BE49-F238E27FC236}">
                  <a16:creationId xmlns:a16="http://schemas.microsoft.com/office/drawing/2014/main" id="{E81F187B-4DB8-1833-C390-B6956D541253}"/>
                </a:ext>
              </a:extLst>
            </xdr:cNvPr>
            <xdr:cNvSpPr/>
          </xdr:nvSpPr>
          <xdr:spPr>
            <a:xfrm>
              <a:off x="7452359" y="876301"/>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a:solidFill>
                    <a:schemeClr val="bg1"/>
                  </a:solidFill>
                  <a:latin typeface="Montserrat" panose="00000800000000000000" pitchFamily="50" charset="0"/>
                </a:rPr>
                <a:t>NET</a:t>
              </a:r>
              <a:r>
                <a:rPr lang="en-ID" sz="1000" baseline="0">
                  <a:solidFill>
                    <a:schemeClr val="bg1"/>
                  </a:solidFill>
                  <a:latin typeface="Montserrat" panose="00000800000000000000" pitchFamily="50" charset="0"/>
                </a:rPr>
                <a:t> SALARY</a:t>
              </a:r>
              <a:endParaRPr lang="en-ID" sz="1000">
                <a:solidFill>
                  <a:schemeClr val="bg1"/>
                </a:solidFill>
                <a:latin typeface="Montserrat" panose="00000800000000000000" pitchFamily="50" charset="0"/>
              </a:endParaRPr>
            </a:p>
          </xdr:txBody>
        </xdr:sp>
        <xdr:sp macro="" textlink="'Pivot Table'!F5">
          <xdr:nvSpPr>
            <xdr:cNvPr id="37" name="TextBox 36">
              <a:extLst>
                <a:ext uri="{FF2B5EF4-FFF2-40B4-BE49-F238E27FC236}">
                  <a16:creationId xmlns:a16="http://schemas.microsoft.com/office/drawing/2014/main" id="{C1C35F19-B46B-99DA-4D4B-7E3926BC90BD}"/>
                </a:ext>
              </a:extLst>
            </xdr:cNvPr>
            <xdr:cNvSpPr txBox="1"/>
          </xdr:nvSpPr>
          <xdr:spPr>
            <a:xfrm>
              <a:off x="7660380" y="1163413"/>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872336-F0C5-4658-8C9C-3EF3B16303D9}" type="TxLink">
                <a:rPr lang="en-US" sz="1400" b="0" i="0" u="none" strike="noStrike">
                  <a:solidFill>
                    <a:schemeClr val="accent1"/>
                  </a:solidFill>
                  <a:latin typeface="Montserrat" panose="00000800000000000000" pitchFamily="50" charset="0"/>
                </a:rPr>
                <a:pPr algn="ctr"/>
                <a:t>Rp0,00</a:t>
              </a:fld>
              <a:endParaRPr lang="en-ID" sz="1400" b="1">
                <a:solidFill>
                  <a:schemeClr val="accent1"/>
                </a:solidFill>
                <a:latin typeface="Montserrat" panose="00000800000000000000" pitchFamily="50" charset="0"/>
              </a:endParaRPr>
            </a:p>
          </xdr:txBody>
        </xdr:sp>
      </xdr:grpSp>
      <xdr:grpSp>
        <xdr:nvGrpSpPr>
          <xdr:cNvPr id="44" name="Group 43">
            <a:extLst>
              <a:ext uri="{FF2B5EF4-FFF2-40B4-BE49-F238E27FC236}">
                <a16:creationId xmlns:a16="http://schemas.microsoft.com/office/drawing/2014/main" id="{8243914A-7394-4A74-8FED-65C2BD2E3534}"/>
              </a:ext>
            </a:extLst>
          </xdr:cNvPr>
          <xdr:cNvGrpSpPr/>
        </xdr:nvGrpSpPr>
        <xdr:grpSpPr>
          <a:xfrm>
            <a:off x="6986721" y="1916968"/>
            <a:ext cx="2268000" cy="900000"/>
            <a:chOff x="7452360" y="876301"/>
            <a:chExt cx="1620000" cy="625441"/>
          </a:xfrm>
          <a:grpFill/>
        </xdr:grpSpPr>
        <xdr:sp macro="" textlink="">
          <xdr:nvSpPr>
            <xdr:cNvPr id="45" name="Rectangle: Rounded Corners 44">
              <a:extLst>
                <a:ext uri="{FF2B5EF4-FFF2-40B4-BE49-F238E27FC236}">
                  <a16:creationId xmlns:a16="http://schemas.microsoft.com/office/drawing/2014/main" id="{A90F0805-1A6D-F43B-FE1D-41E0F3983F41}"/>
                </a:ext>
              </a:extLst>
            </xdr:cNvPr>
            <xdr:cNvSpPr/>
          </xdr:nvSpPr>
          <xdr:spPr>
            <a:xfrm>
              <a:off x="7452360" y="876301"/>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a:solidFill>
                    <a:schemeClr val="bg1"/>
                  </a:solidFill>
                  <a:latin typeface="Montserrat" panose="00000800000000000000" pitchFamily="50" charset="0"/>
                </a:rPr>
                <a:t>DEDUCTION</a:t>
              </a:r>
            </a:p>
          </xdr:txBody>
        </xdr:sp>
        <xdr:sp macro="" textlink="'Pivot Table'!H3">
          <xdr:nvSpPr>
            <xdr:cNvPr id="46" name="TextBox 45">
              <a:extLst>
                <a:ext uri="{FF2B5EF4-FFF2-40B4-BE49-F238E27FC236}">
                  <a16:creationId xmlns:a16="http://schemas.microsoft.com/office/drawing/2014/main" id="{121AC9C0-3E20-33BC-A635-90D3C457B8FB}"/>
                </a:ext>
              </a:extLst>
            </xdr:cNvPr>
            <xdr:cNvSpPr txBox="1"/>
          </xdr:nvSpPr>
          <xdr:spPr>
            <a:xfrm>
              <a:off x="7660380" y="1163413"/>
              <a:ext cx="1112520" cy="125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962C79-C29F-44C9-81AD-94F284E82A7F}" type="TxLink">
                <a:rPr lang="en-US" sz="1400" b="0" i="0" u="none" strike="noStrike">
                  <a:solidFill>
                    <a:schemeClr val="accent1"/>
                  </a:solidFill>
                  <a:latin typeface="Montserrat" panose="00000800000000000000" pitchFamily="50" charset="0"/>
                </a:rPr>
                <a:pPr algn="ctr"/>
                <a:t>Rp0,00</a:t>
              </a:fld>
              <a:endParaRPr lang="en-ID" sz="1400" b="1">
                <a:solidFill>
                  <a:schemeClr val="accent1"/>
                </a:solidFill>
                <a:latin typeface="Montserrat" panose="00000800000000000000" pitchFamily="50" charset="0"/>
              </a:endParaRPr>
            </a:p>
          </xdr:txBody>
        </xdr:sp>
      </xdr:grpSp>
    </xdr:grpSp>
    <xdr:clientData/>
  </xdr:twoCellAnchor>
  <xdr:twoCellAnchor>
    <xdr:from>
      <xdr:col>0</xdr:col>
      <xdr:colOff>231878</xdr:colOff>
      <xdr:row>18</xdr:row>
      <xdr:rowOff>21772</xdr:rowOff>
    </xdr:from>
    <xdr:to>
      <xdr:col>8</xdr:col>
      <xdr:colOff>134300</xdr:colOff>
      <xdr:row>33</xdr:row>
      <xdr:rowOff>75560</xdr:rowOff>
    </xdr:to>
    <xdr:graphicFrame macro="">
      <xdr:nvGraphicFramePr>
        <xdr:cNvPr id="48" name="Chart 47">
          <a:extLst>
            <a:ext uri="{FF2B5EF4-FFF2-40B4-BE49-F238E27FC236}">
              <a16:creationId xmlns:a16="http://schemas.microsoft.com/office/drawing/2014/main" id="{904CEE07-6072-4B84-AF1F-67ACB1C8E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394304</xdr:colOff>
      <xdr:row>5</xdr:row>
      <xdr:rowOff>16933</xdr:rowOff>
    </xdr:from>
    <xdr:to>
      <xdr:col>19</xdr:col>
      <xdr:colOff>115904</xdr:colOff>
      <xdr:row>17</xdr:row>
      <xdr:rowOff>21773</xdr:rowOff>
    </xdr:to>
    <xdr:sp macro="" textlink="">
      <xdr:nvSpPr>
        <xdr:cNvPr id="65" name="Rectangle: Rounded Corners 27">
          <a:extLst>
            <a:ext uri="{FF2B5EF4-FFF2-40B4-BE49-F238E27FC236}">
              <a16:creationId xmlns:a16="http://schemas.microsoft.com/office/drawing/2014/main" id="{5CFAB67C-68EB-4977-84F0-8E06BDF6AF3D}"/>
            </a:ext>
          </a:extLst>
        </xdr:cNvPr>
        <xdr:cNvSpPr/>
      </xdr:nvSpPr>
      <xdr:spPr>
        <a:xfrm rot="10800000">
          <a:off x="9538304" y="948266"/>
          <a:ext cx="2160000" cy="2240040"/>
        </a:xfrm>
        <a:prstGeom prst="round2Same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134300</xdr:colOff>
      <xdr:row>18</xdr:row>
      <xdr:rowOff>108217</xdr:rowOff>
    </xdr:from>
    <xdr:to>
      <xdr:col>15</xdr:col>
      <xdr:colOff>439100</xdr:colOff>
      <xdr:row>33</xdr:row>
      <xdr:rowOff>75560</xdr:rowOff>
    </xdr:to>
    <xdr:graphicFrame macro="">
      <xdr:nvGraphicFramePr>
        <xdr:cNvPr id="49" name="Chart 48">
          <a:extLst>
            <a:ext uri="{FF2B5EF4-FFF2-40B4-BE49-F238E27FC236}">
              <a16:creationId xmlns:a16="http://schemas.microsoft.com/office/drawing/2014/main" id="{DD0FF08F-BE40-4612-8B8B-65A1EA667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5300</xdr:colOff>
      <xdr:row>2</xdr:row>
      <xdr:rowOff>70313</xdr:rowOff>
    </xdr:from>
    <xdr:to>
      <xdr:col>18</xdr:col>
      <xdr:colOff>586100</xdr:colOff>
      <xdr:row>8</xdr:row>
      <xdr:rowOff>74545</xdr:rowOff>
    </xdr:to>
    <xdr:grpSp>
      <xdr:nvGrpSpPr>
        <xdr:cNvPr id="51" name="Group 50">
          <a:extLst>
            <a:ext uri="{FF2B5EF4-FFF2-40B4-BE49-F238E27FC236}">
              <a16:creationId xmlns:a16="http://schemas.microsoft.com/office/drawing/2014/main" id="{2649149A-D168-1549-A47C-FC9E5F2D949D}"/>
            </a:ext>
          </a:extLst>
        </xdr:cNvPr>
        <xdr:cNvGrpSpPr/>
      </xdr:nvGrpSpPr>
      <xdr:grpSpPr>
        <a:xfrm>
          <a:off x="9758900" y="428901"/>
          <a:ext cx="1800000" cy="1079997"/>
          <a:chOff x="2133599" y="975360"/>
          <a:chExt cx="1620000" cy="625441"/>
        </a:xfrm>
        <a:solidFill>
          <a:schemeClr val="bg1"/>
        </a:solidFill>
      </xdr:grpSpPr>
      <xdr:sp macro="" textlink="">
        <xdr:nvSpPr>
          <xdr:cNvPr id="58" name="Rectangle: Rounded Corners 57">
            <a:extLst>
              <a:ext uri="{FF2B5EF4-FFF2-40B4-BE49-F238E27FC236}">
                <a16:creationId xmlns:a16="http://schemas.microsoft.com/office/drawing/2014/main" id="{74D2A9EA-D236-B828-1044-7BBCFFFDD1CA}"/>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accent1"/>
                </a:solidFill>
                <a:latin typeface="Montserrat" panose="00000800000000000000" pitchFamily="50" charset="0"/>
              </a:rPr>
              <a:t>NET EARNINGS</a:t>
            </a:r>
          </a:p>
        </xdr:txBody>
      </xdr:sp>
      <xdr:sp macro="" textlink="'Pivot Table'!F21">
        <xdr:nvSpPr>
          <xdr:cNvPr id="59" name="TextBox 58">
            <a:extLst>
              <a:ext uri="{FF2B5EF4-FFF2-40B4-BE49-F238E27FC236}">
                <a16:creationId xmlns:a16="http://schemas.microsoft.com/office/drawing/2014/main" id="{FD9DB360-A29A-C36E-1406-94D383AE8CB2}"/>
              </a:ext>
            </a:extLst>
          </xdr:cNvPr>
          <xdr:cNvSpPr txBox="1"/>
        </xdr:nvSpPr>
        <xdr:spPr>
          <a:xfrm>
            <a:off x="2387339" y="1262474"/>
            <a:ext cx="1134000" cy="12508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315813-DA39-4795-A5A3-91B643CFDDFC}" type="TxLink">
              <a:rPr lang="en-US" sz="1100" b="1" i="0" u="none" strike="noStrike">
                <a:solidFill>
                  <a:schemeClr val="bg1"/>
                </a:solidFill>
                <a:latin typeface="Montserrat" panose="00000800000000000000" pitchFamily="50" charset="0"/>
              </a:rPr>
              <a:pPr algn="ctr"/>
              <a:t>Rp0,00</a:t>
            </a:fld>
            <a:endParaRPr lang="en-ID" sz="1000" b="1">
              <a:solidFill>
                <a:schemeClr val="bg1"/>
              </a:solidFill>
              <a:latin typeface="Montserrat" panose="00000800000000000000" pitchFamily="50" charset="0"/>
            </a:endParaRPr>
          </a:p>
        </xdr:txBody>
      </xdr:sp>
    </xdr:grpSp>
    <xdr:clientData/>
  </xdr:twoCellAnchor>
  <xdr:twoCellAnchor>
    <xdr:from>
      <xdr:col>16</xdr:col>
      <xdr:colOff>5300</xdr:colOff>
      <xdr:row>10</xdr:row>
      <xdr:rowOff>15883</xdr:rowOff>
    </xdr:from>
    <xdr:to>
      <xdr:col>18</xdr:col>
      <xdr:colOff>586100</xdr:colOff>
      <xdr:row>16</xdr:row>
      <xdr:rowOff>20115</xdr:rowOff>
    </xdr:to>
    <xdr:grpSp>
      <xdr:nvGrpSpPr>
        <xdr:cNvPr id="66" name="Group 65">
          <a:extLst>
            <a:ext uri="{FF2B5EF4-FFF2-40B4-BE49-F238E27FC236}">
              <a16:creationId xmlns:a16="http://schemas.microsoft.com/office/drawing/2014/main" id="{F6F8123D-5E35-4268-84C2-0F123E33CCF4}"/>
            </a:ext>
          </a:extLst>
        </xdr:cNvPr>
        <xdr:cNvGrpSpPr/>
      </xdr:nvGrpSpPr>
      <xdr:grpSpPr>
        <a:xfrm>
          <a:off x="9758900" y="1808824"/>
          <a:ext cx="1800000" cy="1079997"/>
          <a:chOff x="2133599" y="975360"/>
          <a:chExt cx="1620000" cy="625441"/>
        </a:xfrm>
        <a:solidFill>
          <a:schemeClr val="bg1"/>
        </a:solidFill>
      </xdr:grpSpPr>
      <xdr:sp macro="" textlink="">
        <xdr:nvSpPr>
          <xdr:cNvPr id="67" name="Rectangle: Rounded Corners 66">
            <a:extLst>
              <a:ext uri="{FF2B5EF4-FFF2-40B4-BE49-F238E27FC236}">
                <a16:creationId xmlns:a16="http://schemas.microsoft.com/office/drawing/2014/main" id="{EA4280F4-BAA6-D1F2-8EEF-93E1673B4CF6}"/>
              </a:ext>
            </a:extLst>
          </xdr:cNvPr>
          <xdr:cNvSpPr/>
        </xdr:nvSpPr>
        <xdr:spPr>
          <a:xfrm>
            <a:off x="2133599" y="975360"/>
            <a:ext cx="1620000" cy="625441"/>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000" baseline="0">
                <a:solidFill>
                  <a:schemeClr val="accent1"/>
                </a:solidFill>
                <a:latin typeface="Montserrat" panose="00000800000000000000" pitchFamily="50" charset="0"/>
              </a:rPr>
              <a:t>TOTAL BPJS</a:t>
            </a:r>
          </a:p>
        </xdr:txBody>
      </xdr:sp>
      <xdr:sp macro="" textlink="'Pivot Table'!G23">
        <xdr:nvSpPr>
          <xdr:cNvPr id="68" name="TextBox 67">
            <a:extLst>
              <a:ext uri="{FF2B5EF4-FFF2-40B4-BE49-F238E27FC236}">
                <a16:creationId xmlns:a16="http://schemas.microsoft.com/office/drawing/2014/main" id="{A8058BA9-3A60-53CB-20E5-C15F6D3445E4}"/>
              </a:ext>
            </a:extLst>
          </xdr:cNvPr>
          <xdr:cNvSpPr txBox="1"/>
        </xdr:nvSpPr>
        <xdr:spPr>
          <a:xfrm>
            <a:off x="2387339" y="1262474"/>
            <a:ext cx="1134000" cy="12508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29A5B4-4E21-4DFB-8F39-AFF11287D625}" type="TxLink">
              <a:rPr lang="en-US" sz="1000" b="0" i="0" u="none" strike="noStrike">
                <a:solidFill>
                  <a:schemeClr val="bg1"/>
                </a:solidFill>
                <a:latin typeface="Montserrat" panose="00000800000000000000" pitchFamily="50" charset="0"/>
              </a:rPr>
              <a:pPr algn="ctr"/>
              <a:t>Rp0,00</a:t>
            </a:fld>
            <a:endParaRPr lang="en-ID" sz="1000" b="1">
              <a:solidFill>
                <a:schemeClr val="bg1"/>
              </a:solidFill>
              <a:latin typeface="Montserrat" panose="00000800000000000000" pitchFamily="50" charset="0"/>
            </a:endParaRPr>
          </a:p>
        </xdr:txBody>
      </xdr:sp>
    </xdr:grpSp>
    <xdr:clientData/>
  </xdr:twoCellAnchor>
  <xdr:twoCellAnchor>
    <xdr:from>
      <xdr:col>13</xdr:col>
      <xdr:colOff>194661</xdr:colOff>
      <xdr:row>18</xdr:row>
      <xdr:rowOff>65952</xdr:rowOff>
    </xdr:from>
    <xdr:to>
      <xdr:col>20</xdr:col>
      <xdr:colOff>415641</xdr:colOff>
      <xdr:row>33</xdr:row>
      <xdr:rowOff>119740</xdr:rowOff>
    </xdr:to>
    <xdr:graphicFrame macro="">
      <xdr:nvGraphicFramePr>
        <xdr:cNvPr id="70" name="Chart 69">
          <a:extLst>
            <a:ext uri="{FF2B5EF4-FFF2-40B4-BE49-F238E27FC236}">
              <a16:creationId xmlns:a16="http://schemas.microsoft.com/office/drawing/2014/main" id="{AADD6F62-8641-484A-B48C-A75954C64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0.818985879632" createdVersion="8" refreshedVersion="8" minRefreshableVersion="3" recordCount="1" xr:uid="{3A3279F7-3B46-490E-A204-45DE26FDF7E8}">
  <cacheSource type="worksheet">
    <worksheetSource name="TblRecords"/>
  </cacheSource>
  <cacheFields count="17">
    <cacheField name="No" numFmtId="1">
      <sharedItems containsSemiMixedTypes="0" containsString="0" containsNumber="1" containsInteger="1" minValue="1" maxValue="1"/>
    </cacheField>
    <cacheField name="Payroll Year" numFmtId="1">
      <sharedItems containsSemiMixedTypes="0" containsString="0" containsNumber="1" containsInteger="1" minValue="2025" maxValue="2026" count="2">
        <n v="2025"/>
        <n v="2026" u="1"/>
      </sharedItems>
    </cacheField>
    <cacheField name="Payroll Month" numFmtId="167">
      <sharedItems count="38">
        <s v="January"/>
        <s v="November" u="1"/>
        <s v="December" u="1"/>
        <s v="February" u="1"/>
        <s v="March" u="1"/>
        <s v="April" u="1"/>
        <s v="May" u="1"/>
        <s v="June" u="1"/>
        <s v="July" u="1"/>
        <s v="August" u="1"/>
        <s v="September" u="1"/>
        <s v="October" u="1"/>
        <s v="2025 - November" u="1"/>
        <s v="2025 - December" u="1"/>
        <s v="2026 - January" u="1"/>
        <s v="2026 - February" u="1"/>
        <s v="2026 - March" u="1"/>
        <s v="2026 - April" u="1"/>
        <s v="2026 - May" u="1"/>
        <s v="2026 - June" u="1"/>
        <s v="2026 - July" u="1"/>
        <s v="2026 - August" u="1"/>
        <s v="2026 - September" u="1"/>
        <s v="2026 - October" u="1"/>
        <s v="2026 - November" u="1"/>
        <s v="November, 2025" u="1"/>
        <s v="December, 2025" u="1"/>
        <s v="January, 2026" u="1"/>
        <s v="February, 2026" u="1"/>
        <s v="March, 2026" u="1"/>
        <s v="April, 2026" u="1"/>
        <s v="May, 2026" u="1"/>
        <s v="June, 2026" u="1"/>
        <s v="July, 2026" u="1"/>
        <s v="August, 2026" u="1"/>
        <s v="September, 2026" u="1"/>
        <s v="October, 2026" u="1"/>
        <s v="November, 2026" u="1"/>
      </sharedItems>
    </cacheField>
    <cacheField name="Full Date" numFmtId="14">
      <sharedItems containsNonDate="0" containsString="0" containsBlank="1"/>
    </cacheField>
    <cacheField name="Shift" numFmtId="168">
      <sharedItems containsNonDate="0" containsString="0" containsBlank="1"/>
    </cacheField>
    <cacheField name="Overtime Hour" numFmtId="165">
      <sharedItems containsSemiMixedTypes="0" containsNonDate="0" containsDate="1" containsString="0" minDate="1899-12-30T00:00:00" maxDate="1899-12-31T00:00:00"/>
    </cacheField>
    <cacheField name="Overtime Break" numFmtId="165">
      <sharedItems containsSemiMixedTypes="0" containsNonDate="0" containsDate="1" containsString="0" minDate="1899-12-30T00:00:00" maxDate="1899-12-31T00:00:00"/>
    </cacheField>
    <cacheField name="Start Time" numFmtId="165">
      <sharedItems containsSemiMixedTypes="0" containsNonDate="0" containsDate="1" containsString="0" minDate="1899-12-30T00:00:00" maxDate="1899-12-31T00:00:00" count="1">
        <d v="1899-12-30T00:00:00"/>
      </sharedItems>
      <fieldGroup par="16"/>
    </cacheField>
    <cacheField name="End Time" numFmtId="165">
      <sharedItems containsSemiMixedTypes="0" containsNonDate="0" containsDate="1" containsString="0" minDate="1899-12-30T00:00:00" maxDate="1899-12-31T00:00:00"/>
    </cacheField>
    <cacheField name="Daily Pay" numFmtId="166">
      <sharedItems containsSemiMixedTypes="0" containsString="0" containsNumber="1" containsInteger="1" minValue="0" maxValue="0"/>
    </cacheField>
    <cacheField name="Overtime Pay" numFmtId="166">
      <sharedItems containsSemiMixedTypes="0" containsString="0" containsNumber="1" containsInteger="1" minValue="0" maxValue="0"/>
    </cacheField>
    <cacheField name="Deduction" numFmtId="166">
      <sharedItems containsSemiMixedTypes="0" containsString="0" containsNumber="1" containsInteger="1" minValue="0" maxValue="0"/>
    </cacheField>
    <cacheField name="Deduction Type" numFmtId="166">
      <sharedItems containsBlank="1" containsMixedTypes="1" containsNumber="1" containsInteger="1" minValue="0" maxValue="0" count="8">
        <n v="0"/>
        <s v="No Deduction" u="1"/>
        <s v="BPJS On-Cycle 2025" u="1"/>
        <s v="BPJS On-Cycle 2026" u="1"/>
        <s v="BPJS Pre-Deduction" u="1"/>
        <s v="BPJS Reversal" u="1"/>
        <s v="Uniform" u="1"/>
        <m u="1"/>
      </sharedItems>
    </cacheField>
    <cacheField name="Notes" numFmtId="0">
      <sharedItems containsBlank="1" count="9">
        <s v="OFF"/>
        <s v="ATTENDED" u="1"/>
        <s v="SICK" u="1"/>
        <s v="HOLIDAY OVERTIME" u="1"/>
        <s v="OVERTIME" u="1"/>
        <s v="PERMITTED" u="1"/>
        <s v="LONGSHIFT" u="1"/>
        <s v="SAKIT" u="1"/>
        <m u="1"/>
      </sharedItems>
    </cacheField>
    <cacheField name="Net Salary" numFmtId="0" formula="'Daily Pay'+'Overtime Pay'" databaseField="0"/>
    <cacheField name="Gross Salary" numFmtId="0" formula="'Daily Pay'+#NAME?+'Overtime Pay'+#NAME?" databaseField="0"/>
    <cacheField name="Hours (Start Time)" numFmtId="0" databaseField="0">
      <fieldGroup base="7">
        <rangePr groupBy="hours" startDate="1899-12-30T00:00:00" endDate="1899-12-31T00:00:00"/>
        <groupItems count="26">
          <s v="&lt;00/01/1900"/>
          <s v="00"/>
          <s v="01"/>
          <s v="02"/>
          <s v="03"/>
          <s v="04"/>
          <s v="05"/>
          <s v="06"/>
          <s v="07"/>
          <s v="08"/>
          <s v="09"/>
          <s v="10"/>
          <s v="11"/>
          <s v="12"/>
          <s v="13"/>
          <s v="14"/>
          <s v="15"/>
          <s v="16"/>
          <s v="17"/>
          <s v="18"/>
          <s v="19"/>
          <s v="20"/>
          <s v="21"/>
          <s v="22"/>
          <s v="23"/>
          <s v="&gt;01/01/1900"/>
        </groupItems>
      </fieldGroup>
    </cacheField>
  </cacheFields>
  <extLst>
    <ext xmlns:x14="http://schemas.microsoft.com/office/spreadsheetml/2009/9/main" uri="{725AE2AE-9491-48be-B2B4-4EB974FC3084}">
      <x14:pivotCacheDefinition pivotCacheId="31314958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x v="0"/>
    <x v="0"/>
    <m/>
    <m/>
    <d v="1899-12-30T00:00:00"/>
    <d v="1899-12-30T00:00:00"/>
    <x v="0"/>
    <d v="1899-12-30T00:00:00"/>
    <n v="0"/>
    <n v="0"/>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5D257-E2F9-4261-BA1C-EAFDB25F9249}" name="PivotTable2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E21" firstHeaderRow="1" firstDataRow="1" firstDataCol="0"/>
  <pivotFields count="17">
    <pivotField numFmtId="1" showAll="0"/>
    <pivotField showAll="0"/>
    <pivotField showAll="0"/>
    <pivotField numFmtId="14" showAll="0"/>
    <pivotField showAll="0"/>
    <pivotField numFmtId="165" showAll="0"/>
    <pivotField numFmtId="165" showAll="0"/>
    <pivotField numFmtId="165" showAll="0">
      <items count="2">
        <item x="0"/>
        <item t="default"/>
      </items>
    </pivotField>
    <pivotField numFmtId="165" showAll="0"/>
    <pivotField numFmtId="166" showAll="0"/>
    <pivotField numFmtId="166" showAll="0"/>
    <pivotField numFmtId="166" showAll="0"/>
    <pivotField showAll="0"/>
    <pivotField showAll="0"/>
    <pivotField dataField="1" dragToRow="0" dragToCol="0" dragToPage="0" showAll="0" defaultSubtotal="0"/>
    <pivotField dragToRow="0" dragToCol="0" dragToPage="0" showAll="0" defaultSubtota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x="25"/>
        <item t="default"/>
      </items>
    </pivotField>
  </pivotFields>
  <rowItems count="1">
    <i/>
  </rowItems>
  <colItems count="1">
    <i/>
  </colItems>
  <dataFields count="1">
    <dataField name="Sum of Net Salary" fld="1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0E0EB-AF74-4961-B1D1-517A5E14B29D}"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A5" firstHeaderRow="1" firstDataRow="1" firstDataCol="0"/>
  <pivotFields count="17">
    <pivotField showAll="0"/>
    <pivotField showAll="0"/>
    <pivotField showAll="0"/>
    <pivotField numFmtId="14" showAll="0"/>
    <pivotField dataField="1" showAll="0"/>
    <pivotField numFmtId="165" showAll="0"/>
    <pivotField numFmtId="165" showAll="0"/>
    <pivotField showAll="0">
      <items count="2">
        <item x="0"/>
        <item t="default"/>
      </items>
    </pivotField>
    <pivotField showAll="0"/>
    <pivotField numFmtId="166" showAll="0"/>
    <pivotField numFmtId="166" showAll="0"/>
    <pivotField numFmtId="166" showAll="0"/>
    <pivotField showAll="0"/>
    <pivotField showAll="0"/>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Shift" fld="4"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A147B8-BFA4-4457-B926-147F980FDBD3}" name="PivotTable15"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J1:K3" firstHeaderRow="1" firstDataRow="1" firstDataCol="1"/>
  <pivotFields count="17">
    <pivotField showAll="0"/>
    <pivotField showAll="0">
      <items count="3">
        <item x="0"/>
        <item m="1" x="1"/>
        <item t="default"/>
      </items>
    </pivotField>
    <pivotField showAll="0">
      <items count="39">
        <item x="0"/>
        <item m="1" x="3"/>
        <item m="1" x="4"/>
        <item m="1" x="5"/>
        <item m="1" x="6"/>
        <item m="1" x="7"/>
        <item m="1" x="8"/>
        <item m="1" x="9"/>
        <item m="1" x="10"/>
        <item m="1" x="11"/>
        <item m="1" x="1"/>
        <item m="1" x="2"/>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pivotField showAll="0"/>
    <pivotField numFmtId="165" showAll="0"/>
    <pivotField numFmtId="165" showAll="0"/>
    <pivotField showAll="0">
      <items count="2">
        <item x="0"/>
        <item t="default"/>
      </items>
    </pivotField>
    <pivotField showAll="0"/>
    <pivotField numFmtId="166" showAll="0"/>
    <pivotField numFmtId="166" showAll="0"/>
    <pivotField numFmtId="166" showAll="0"/>
    <pivotField showAll="0"/>
    <pivotField axis="axisRow" dataField="1" showAll="0">
      <items count="10">
        <item m="1" x="1"/>
        <item m="1" x="8"/>
        <item x="0"/>
        <item m="1" x="4"/>
        <item m="1" x="6"/>
        <item m="1" x="2"/>
        <item m="1" x="7"/>
        <item m="1" x="5"/>
        <item m="1" x="3"/>
        <item t="default"/>
      </items>
    </pivotField>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2">
    <i>
      <x v="2"/>
    </i>
    <i t="grand">
      <x/>
    </i>
  </rowItems>
  <colItems count="1">
    <i/>
  </colItems>
  <dataFields count="1">
    <dataField name="Count of Notes" fld="13" subtotal="count" baseField="0" baseItem="0"/>
  </dataFields>
  <chartFormats count="8">
    <chartFormat chart="3" format="42" series="1">
      <pivotArea type="data" outline="0" fieldPosition="0">
        <references count="1">
          <reference field="4294967294" count="1" selected="0">
            <x v="0"/>
          </reference>
        </references>
      </pivotArea>
    </chartFormat>
    <chartFormat chart="3" format="43">
      <pivotArea type="data" outline="0" fieldPosition="0">
        <references count="2">
          <reference field="4294967294" count="1" selected="0">
            <x v="0"/>
          </reference>
          <reference field="13" count="1" selected="0">
            <x v="0"/>
          </reference>
        </references>
      </pivotArea>
    </chartFormat>
    <chartFormat chart="3" format="44">
      <pivotArea type="data" outline="0" fieldPosition="0">
        <references count="2">
          <reference field="4294967294" count="1" selected="0">
            <x v="0"/>
          </reference>
          <reference field="13" count="1" selected="0">
            <x v="2"/>
          </reference>
        </references>
      </pivotArea>
    </chartFormat>
    <chartFormat chart="3" format="45">
      <pivotArea type="data" outline="0" fieldPosition="0">
        <references count="2">
          <reference field="4294967294" count="1" selected="0">
            <x v="0"/>
          </reference>
          <reference field="13" count="1" selected="0">
            <x v="3"/>
          </reference>
        </references>
      </pivotArea>
    </chartFormat>
    <chartFormat chart="3" format="46">
      <pivotArea type="data" outline="0" fieldPosition="0">
        <references count="2">
          <reference field="4294967294" count="1" selected="0">
            <x v="0"/>
          </reference>
          <reference field="13" count="1" selected="0">
            <x v="4"/>
          </reference>
        </references>
      </pivotArea>
    </chartFormat>
    <chartFormat chart="3" format="47">
      <pivotArea type="data" outline="0" fieldPosition="0">
        <references count="2">
          <reference field="4294967294" count="1" selected="0">
            <x v="0"/>
          </reference>
          <reference field="13" count="1" selected="0">
            <x v="7"/>
          </reference>
        </references>
      </pivotArea>
    </chartFormat>
    <chartFormat chart="3" format="48">
      <pivotArea type="data" outline="0" fieldPosition="0">
        <references count="2">
          <reference field="4294967294" count="1" selected="0">
            <x v="0"/>
          </reference>
          <reference field="13" count="1" selected="0">
            <x v="5"/>
          </reference>
        </references>
      </pivotArea>
    </chartFormat>
    <chartFormat chart="3" format="49">
      <pivotArea type="data" outline="0" fieldPosition="0">
        <references count="2">
          <reference field="4294967294" count="1" selected="0">
            <x v="0"/>
          </reference>
          <reference field="1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74416-215C-42A5-86C9-456FD80CB552}"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17">
    <pivotField numFmtId="1" showAll="0"/>
    <pivotField showAll="0"/>
    <pivotField showAll="0"/>
    <pivotField numFmtId="14" showAll="0"/>
    <pivotField dataField="1" showAll="0"/>
    <pivotField numFmtId="165" showAll="0"/>
    <pivotField numFmtId="165" showAll="0"/>
    <pivotField numFmtId="165" showAll="0">
      <items count="2">
        <item x="0"/>
        <item t="default"/>
      </items>
    </pivotField>
    <pivotField numFmtId="165" showAll="0"/>
    <pivotField numFmtId="166" showAll="0"/>
    <pivotField numFmtId="166" showAll="0"/>
    <pivotField numFmtId="166" showAll="0"/>
    <pivotField showAll="0"/>
    <pivotField showAll="0"/>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Average of Shift"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1A77D6-3572-4033-B912-F9D202169ECC}"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2" firstHeaderRow="0" firstDataRow="1" firstDataCol="0"/>
  <pivotFields count="17">
    <pivotField showAll="0"/>
    <pivotField showAll="0">
      <items count="3">
        <item x="0"/>
        <item m="1" x="1"/>
        <item t="default"/>
      </items>
    </pivotField>
    <pivotField showAll="0">
      <items count="39">
        <item x="0"/>
        <item m="1" x="3"/>
        <item m="1" x="4"/>
        <item m="1" x="5"/>
        <item m="1" x="6"/>
        <item m="1" x="7"/>
        <item m="1" x="8"/>
        <item m="1" x="9"/>
        <item m="1" x="10"/>
        <item m="1" x="11"/>
        <item m="1" x="1"/>
        <item m="1" x="2"/>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pivotField showAll="0"/>
    <pivotField numFmtId="165" showAll="0"/>
    <pivotField numFmtId="165" showAll="0"/>
    <pivotField showAll="0">
      <items count="2">
        <item x="0"/>
        <item t="default"/>
      </items>
    </pivotField>
    <pivotField showAll="0"/>
    <pivotField dataField="1" numFmtId="166" showAll="0"/>
    <pivotField dataField="1" numFmtId="166" showAll="0"/>
    <pivotField dataField="1" numFmtId="166" showAll="0"/>
    <pivotField showAll="0"/>
    <pivotField showAll="0"/>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Total Daily Pay" fld="9" baseField="0" baseItem="0" numFmtId="166"/>
    <dataField name="Sum of Overtime Pay" fld="10" baseField="0" baseItem="0" numFmtId="166"/>
    <dataField name="Sum of Deduction"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F883D9-2D1E-4C17-A897-05E6C7EDA82B}" name="PivotTable23"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E22:F23" firstHeaderRow="1" firstDataRow="1" firstDataCol="1"/>
  <pivotFields count="17">
    <pivotField numFmtId="1" showAll="0"/>
    <pivotField showAll="0">
      <items count="3">
        <item x="0"/>
        <item m="1" x="1"/>
        <item t="default"/>
      </items>
    </pivotField>
    <pivotField showAll="0">
      <items count="39">
        <item x="0"/>
        <item m="1" x="3"/>
        <item m="1" x="4"/>
        <item m="1" x="5"/>
        <item m="1" x="6"/>
        <item m="1" x="7"/>
        <item m="1" x="8"/>
        <item m="1" x="9"/>
        <item m="1" x="10"/>
        <item m="1" x="11"/>
        <item m="1" x="1"/>
        <item m="1" x="2"/>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pivotField showAll="0"/>
    <pivotField numFmtId="165" showAll="0"/>
    <pivotField numFmtId="165" showAll="0"/>
    <pivotField numFmtId="165" showAll="0">
      <items count="2">
        <item x="0"/>
        <item t="default"/>
      </items>
    </pivotField>
    <pivotField numFmtId="165" showAll="0"/>
    <pivotField numFmtId="166" showAll="0"/>
    <pivotField numFmtId="166" showAll="0"/>
    <pivotField dataField="1" numFmtId="166" showAll="0"/>
    <pivotField axis="axisRow" showAll="0">
      <items count="9">
        <item m="1" x="7"/>
        <item h="1" m="1" x="1"/>
        <item m="1" x="2"/>
        <item m="1" x="3"/>
        <item m="1" x="4"/>
        <item m="1" x="5"/>
        <item m="1" x="6"/>
        <item h="1" x="0"/>
        <item t="default"/>
      </items>
    </pivotField>
    <pivotField showAll="0"/>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1">
    <i t="grand">
      <x/>
    </i>
  </rowItems>
  <colItems count="1">
    <i/>
  </colItems>
  <dataFields count="1">
    <dataField name="Sum of Deduction" fld="11" baseField="12" baseItem="3" numFmtId="166"/>
  </dataFields>
  <chartFormats count="5">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6" format="11">
      <pivotArea type="data" outline="0" fieldPosition="0">
        <references count="2">
          <reference field="4294967294" count="1" selected="0">
            <x v="0"/>
          </reference>
          <reference field="12" count="1" selected="0">
            <x v="6"/>
          </reference>
        </references>
      </pivotArea>
    </chartFormat>
    <chartFormat chart="6" format="12">
      <pivotArea type="data" outline="0" fieldPosition="0">
        <references count="2">
          <reference field="4294967294" count="1" selected="0">
            <x v="0"/>
          </reference>
          <reference field="12" count="1" selected="0">
            <x v="2"/>
          </reference>
        </references>
      </pivotArea>
    </chartFormat>
    <chartFormat chart="6" format="13">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726CAD-B0A9-4488-87AA-B4C2179FC435}" name="PivotTable14" cacheId="1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E7:F8" firstHeaderRow="1" firstDataRow="1" firstDataCol="1"/>
  <pivotFields count="17">
    <pivotField showAll="0"/>
    <pivotField showAll="0">
      <items count="3">
        <item x="0"/>
        <item m="1" x="1"/>
        <item t="default"/>
      </items>
    </pivotField>
    <pivotField axis="axisRow" showAll="0" sortType="ascending">
      <items count="39">
        <item x="0"/>
        <item m="1" x="3"/>
        <item m="1" x="4"/>
        <item m="1" x="5"/>
        <item m="1" x="6"/>
        <item m="1" x="7"/>
        <item m="1" x="8"/>
        <item m="1" x="9"/>
        <item m="1" x="10"/>
        <item m="1" x="11"/>
        <item m="1" x="1"/>
        <item m="1" x="2"/>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pivotField showAll="0"/>
    <pivotField numFmtId="165" showAll="0"/>
    <pivotField numFmtId="165" showAll="0"/>
    <pivotField showAll="0">
      <items count="2">
        <item x="0"/>
        <item t="default"/>
      </items>
    </pivotField>
    <pivotField showAll="0"/>
    <pivotField numFmtId="166" showAll="0"/>
    <pivotField numFmtId="166" showAll="0"/>
    <pivotField numFmtId="166" showAll="0"/>
    <pivotField showAll="0"/>
    <pivotField showAll="0"/>
    <pivotField dataField="1"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
    <i>
      <x/>
    </i>
  </rowItems>
  <colItems count="1">
    <i/>
  </colItems>
  <dataFields count="1">
    <dataField name="Sum of Net Salary" fld="14" baseField="0" baseItem="0" numFmtId="166"/>
  </dataFields>
  <formats count="1">
    <format dxfId="17">
      <pivotArea outline="0" collapsedLevelsAreSubtotals="1" fieldPosition="0"/>
    </format>
  </formats>
  <chartFormats count="13">
    <chartFormat chart="8" format="2"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 count="1" selected="0">
            <x v="0"/>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2"/>
          </reference>
        </references>
      </pivotArea>
    </chartFormat>
    <chartFormat chart="8" format="23">
      <pivotArea type="data" outline="0" fieldPosition="0">
        <references count="2">
          <reference field="4294967294" count="1" selected="0">
            <x v="0"/>
          </reference>
          <reference field="2" count="1" selected="0">
            <x v="3"/>
          </reference>
        </references>
      </pivotArea>
    </chartFormat>
    <chartFormat chart="8" format="24">
      <pivotArea type="data" outline="0" fieldPosition="0">
        <references count="2">
          <reference field="4294967294" count="1" selected="0">
            <x v="0"/>
          </reference>
          <reference field="2" count="1" selected="0">
            <x v="4"/>
          </reference>
        </references>
      </pivotArea>
    </chartFormat>
    <chartFormat chart="8" format="25">
      <pivotArea type="data" outline="0" fieldPosition="0">
        <references count="2">
          <reference field="4294967294" count="1" selected="0">
            <x v="0"/>
          </reference>
          <reference field="2" count="1" selected="0">
            <x v="5"/>
          </reference>
        </references>
      </pivotArea>
    </chartFormat>
    <chartFormat chart="8" format="26">
      <pivotArea type="data" outline="0" fieldPosition="0">
        <references count="2">
          <reference field="4294967294" count="1" selected="0">
            <x v="0"/>
          </reference>
          <reference field="2" count="1" selected="0">
            <x v="6"/>
          </reference>
        </references>
      </pivotArea>
    </chartFormat>
    <chartFormat chart="8" format="27">
      <pivotArea type="data" outline="0" fieldPosition="0">
        <references count="2">
          <reference field="4294967294" count="1" selected="0">
            <x v="0"/>
          </reference>
          <reference field="2" count="1" selected="0">
            <x v="7"/>
          </reference>
        </references>
      </pivotArea>
    </chartFormat>
    <chartFormat chart="8" format="28">
      <pivotArea type="data" outline="0" fieldPosition="0">
        <references count="2">
          <reference field="4294967294" count="1" selected="0">
            <x v="0"/>
          </reference>
          <reference field="2" count="1" selected="0">
            <x v="8"/>
          </reference>
        </references>
      </pivotArea>
    </chartFormat>
    <chartFormat chart="8" format="29">
      <pivotArea type="data" outline="0" fieldPosition="0">
        <references count="2">
          <reference field="4294967294" count="1" selected="0">
            <x v="0"/>
          </reference>
          <reference field="2" count="1" selected="0">
            <x v="9"/>
          </reference>
        </references>
      </pivotArea>
    </chartFormat>
    <chartFormat chart="8" format="30">
      <pivotArea type="data" outline="0" fieldPosition="0">
        <references count="2">
          <reference field="4294967294" count="1" selected="0">
            <x v="0"/>
          </reference>
          <reference field="2" count="1" selected="0">
            <x v="10"/>
          </reference>
        </references>
      </pivotArea>
    </chartFormat>
    <chartFormat chart="8" format="3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1B3F30-5B69-4617-9E93-EB3D3ED96A49}"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23" firstHeaderRow="1" firstDataRow="1" firstDataCol="1"/>
  <pivotFields count="17">
    <pivotField numFmtId="1" showAll="0"/>
    <pivotField numFmtId="1" showAll="0"/>
    <pivotField showAll="0"/>
    <pivotField numFmtId="14" showAll="0"/>
    <pivotField showAll="0"/>
    <pivotField numFmtId="165" showAll="0"/>
    <pivotField numFmtId="165" showAll="0"/>
    <pivotField numFmtId="165" showAll="0">
      <items count="2">
        <item x="0"/>
        <item t="default"/>
      </items>
    </pivotField>
    <pivotField numFmtId="165" showAll="0"/>
    <pivotField numFmtId="166" showAll="0"/>
    <pivotField showAll="0"/>
    <pivotField dataField="1" numFmtId="166" showAll="0"/>
    <pivotField axis="axisRow" showAll="0">
      <items count="9">
        <item m="1" x="2"/>
        <item m="1" x="3"/>
        <item m="1" x="4"/>
        <item m="1" x="5"/>
        <item m="1" x="1"/>
        <item m="1" x="6"/>
        <item m="1" x="7"/>
        <item x="0"/>
        <item t="default"/>
      </items>
    </pivotField>
    <pivotField showAll="0"/>
    <pivotField dragToRow="0" dragToCol="0" dragToPage="0" showAll="0" defaultSubtotal="0"/>
    <pivotField dragToRow="0" dragToCol="0" dragToPage="0"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1">
    <i t="grand">
      <x/>
    </i>
  </rowItems>
  <colItems count="1">
    <i/>
  </colItems>
  <dataFields count="1">
    <dataField name="Sum of Deduction" fld="11" baseField="0" baseItem="0" numFmtId="166"/>
  </dataFields>
  <pivotTableStyleInfo name="PivotStyleLight16" showRowHeaders="1" showColHeaders="1" showRowStripes="0" showColStripes="0" showLastColumn="1"/>
  <filters count="1">
    <filter fld="12" type="captionContains" evalOrder="-1" id="1" stringValue1="BPJS">
      <autoFilter ref="A1">
        <filterColumn colId="0">
          <customFilters>
            <customFilter val="*BPJS*"/>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CFA01E-B4D8-4A74-921D-D4129F0BEBBE}"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17">
    <pivotField showAll="0"/>
    <pivotField showAll="0">
      <items count="3">
        <item x="0"/>
        <item m="1" x="1"/>
        <item t="default"/>
      </items>
    </pivotField>
    <pivotField dataField="1" showAll="0">
      <items count="39">
        <item x="0"/>
        <item m="1" x="3"/>
        <item m="1" x="4"/>
        <item m="1" x="5"/>
        <item m="1" x="6"/>
        <item m="1" x="7"/>
        <item m="1" x="8"/>
        <item m="1" x="9"/>
        <item m="1" x="10"/>
        <item m="1" x="11"/>
        <item m="1" x="1"/>
        <item m="1" x="2"/>
        <item m="1" x="13"/>
        <item m="1" x="12"/>
        <item m="1" x="17"/>
        <item m="1" x="21"/>
        <item m="1" x="15"/>
        <item m="1" x="14"/>
        <item m="1" x="20"/>
        <item m="1" x="19"/>
        <item m="1" x="16"/>
        <item m="1" x="18"/>
        <item m="1" x="24"/>
        <item m="1" x="23"/>
        <item m="1" x="22"/>
        <item m="1" x="30"/>
        <item m="1" x="34"/>
        <item m="1" x="26"/>
        <item m="1" x="28"/>
        <item m="1" x="27"/>
        <item m="1" x="33"/>
        <item m="1" x="32"/>
        <item m="1" x="29"/>
        <item m="1" x="31"/>
        <item m="1" x="25"/>
        <item m="1" x="37"/>
        <item m="1" x="36"/>
        <item m="1" x="35"/>
        <item t="default"/>
      </items>
    </pivotField>
    <pivotField numFmtId="14" showAll="0"/>
    <pivotField dataField="1" showAll="0"/>
    <pivotField numFmtId="165" showAll="0"/>
    <pivotField numFmtId="165" showAll="0"/>
    <pivotField showAll="0">
      <items count="2">
        <item x="0"/>
        <item t="default"/>
      </items>
    </pivotField>
    <pivotField showAll="0"/>
    <pivotField numFmtId="166" showAll="0"/>
    <pivotField numFmtId="166" showAll="0"/>
    <pivotField numFmtId="166" showAll="0"/>
    <pivotField showAll="0"/>
    <pivotField showAll="0"/>
    <pivotField dragToRow="0" dragToCol="0" dragToPage="0" showAll="0" defaultSubtota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2">
    <i>
      <x/>
    </i>
    <i i="1">
      <x v="1"/>
    </i>
  </colItems>
  <dataFields count="2">
    <dataField name="Calender Days" fld="2" subtotal="count" baseField="0" baseItem="0"/>
    <dataField name="Total Working Days" fld="4"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roll_Month" xr10:uid="{1125A49D-7BB2-44F5-A7E9-FD21DEEC0442}" sourceName="Payroll Month">
  <pivotTables>
    <pivotTable tabId="2" name="PivotTable10"/>
    <pivotTable tabId="2" name="PivotTable11"/>
    <pivotTable tabId="2" name="PivotTable15"/>
    <pivotTable tabId="2" name="PivotTable23"/>
  </pivotTables>
  <data>
    <tabular pivotCacheId="313149587">
      <items count="38">
        <i x="0" s="1"/>
        <i x="3" s="1" nd="1"/>
        <i x="4" s="1" nd="1"/>
        <i x="5" s="1" nd="1"/>
        <i x="6" s="1" nd="1"/>
        <i x="7" s="1" nd="1"/>
        <i x="8" s="1" nd="1"/>
        <i x="9" s="1" nd="1"/>
        <i x="10" s="1" nd="1"/>
        <i x="11" s="1" nd="1"/>
        <i x="1" s="1" nd="1"/>
        <i x="2" s="1" nd="1"/>
        <i x="13" s="1" nd="1"/>
        <i x="12" s="1" nd="1"/>
        <i x="17" s="1" nd="1"/>
        <i x="21" s="1" nd="1"/>
        <i x="15" s="1" nd="1"/>
        <i x="14" s="1" nd="1"/>
        <i x="20" s="1" nd="1"/>
        <i x="19" s="1" nd="1"/>
        <i x="16" s="1" nd="1"/>
        <i x="18" s="1" nd="1"/>
        <i x="24" s="1" nd="1"/>
        <i x="23" s="1" nd="1"/>
        <i x="22" s="1" nd="1"/>
        <i x="30" s="1" nd="1"/>
        <i x="34" s="1" nd="1"/>
        <i x="26" s="1" nd="1"/>
        <i x="28" s="1" nd="1"/>
        <i x="27" s="1" nd="1"/>
        <i x="33" s="1" nd="1"/>
        <i x="32" s="1" nd="1"/>
        <i x="29" s="1" nd="1"/>
        <i x="31" s="1" nd="1"/>
        <i x="25" s="1" nd="1"/>
        <i x="37" s="1" nd="1"/>
        <i x="36" s="1" nd="1"/>
        <i x="3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roll_Year" xr10:uid="{02DD5D9B-333C-4689-9206-74DCEC8B253B}" sourceName="Payroll Year">
  <pivotTables>
    <pivotTable tabId="2" name="PivotTable10"/>
    <pivotTable tabId="2" name="PivotTable11"/>
    <pivotTable tabId="2" name="PivotTable14"/>
    <pivotTable tabId="2" name="PivotTable15"/>
    <pivotTable tabId="2" name="PivotTable23"/>
  </pivotTables>
  <data>
    <tabular pivotCacheId="313149587">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roll Month" xr10:uid="{3F3AD20A-EB2D-4F97-8D4A-921CBF8CD70E}" cache="Slicer_Payroll_Month" caption="Work Period (Month)" columnCount="2" style="Custom Style 1" rowHeight="247650"/>
  <slicer name="Payroll Year" xr10:uid="{87118A08-A0FE-4C29-A483-931850A7B541}" cache="Slicer_Payroll_Year" caption="Work Period (Year)" columnCount="2" style="Custom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CB477-3DFF-43E5-8C11-1C49C8D2531B}" name="TblDailyPay" displayName="TblDailyPay" ref="A2:B3" insertRow="1" totalsRowShown="0">
  <autoFilter ref="A2:B3" xr:uid="{A2DCB477-3DFF-43E5-8C11-1C49C8D2531B}"/>
  <tableColumns count="2">
    <tableColumn id="1" xr3:uid="{917C4805-E853-4BDD-AA77-B1AACB3B9857}" name="Year" dataDxfId="5"/>
    <tableColumn id="2" xr3:uid="{C7262394-F881-4358-87D7-D81336E228B2}" name="Rat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7BF294-6DC6-4715-9C58-F77B5570FC33}" name="TblOvertime" displayName="TblOvertime" ref="D3:F4" totalsRowShown="0">
  <autoFilter ref="D3:F4" xr:uid="{2D7BF294-6DC6-4715-9C58-F77B5570FC33}"/>
  <tableColumns count="3">
    <tableColumn id="1" xr3:uid="{4A2C1D08-5DFD-42C1-80D7-C948C0B894A5}" name="Year"/>
    <tableColumn id="2" xr3:uid="{6C0C8224-0B3C-404B-83BD-D5DDDDA10E69}" name="Work Hour" dataDxfId="3"/>
    <tableColumn id="3" xr3:uid="{9A6ACEC8-60BE-4223-A560-7C10D056E072}" name="Rat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BED195-7A00-415A-9921-380AD3C8234F}" name="TblHOvertime" displayName="TblHOvertime" ref="H3:J4" totalsRowShown="0">
  <autoFilter ref="H3:J4" xr:uid="{C1BED195-7A00-415A-9921-380AD3C8234F}"/>
  <tableColumns count="3">
    <tableColumn id="1" xr3:uid="{18E2BFAE-05C5-40A1-A13B-A82354DECDEA}" name="Year"/>
    <tableColumn id="2" xr3:uid="{6E0ACDCB-4BDD-418F-8795-E0AB1AD72EEA}" name="Work Hour" dataDxfId="1"/>
    <tableColumn id="3" xr3:uid="{73E61472-AE6C-4C72-9607-0EE87F9A2661}" name="Rate"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0D9287-D477-4692-97E9-0DE18EF6B094}" name="Table7" displayName="Table7" ref="L2:M3" totalsRowShown="0">
  <autoFilter ref="L2:M3" xr:uid="{560D9287-D477-4692-97E9-0DE18EF6B094}"/>
  <tableColumns count="2">
    <tableColumn id="1" xr3:uid="{FB4129EC-D111-4195-92A5-5209A5B0A305}" name="Start Period Date"/>
    <tableColumn id="2" xr3:uid="{637FC7C1-7385-40FB-9BB7-D37511BA26E4}" name="End Period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3F9988-3A03-48BA-859E-C23E0D2E007B}" name="Table6" displayName="Table6" ref="O2:P3" totalsRowShown="0">
  <autoFilter ref="O2:P3" xr:uid="{403F9988-3A03-48BA-859E-C23E0D2E007B}"/>
  <tableColumns count="2">
    <tableColumn id="1" xr3:uid="{548A8112-F6CB-447A-ABCD-71D1F65CA6A6}" name="Shift"/>
    <tableColumn id="2" xr3:uid="{355FFBC1-9FDD-4AE0-A527-4BF65CE445B1}" name="Time" dataDxfId="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56DED3-CE7A-4F5F-AA1A-AFE63B5B55A7}" name="TblEvent" displayName="TblEvent" ref="A1:D2" totalsRowShown="0">
  <autoFilter ref="A1:D2" xr:uid="{4056DED3-CE7A-4F5F-AA1A-AFE63B5B55A7}"/>
  <sortState xmlns:xlrd2="http://schemas.microsoft.com/office/spreadsheetml/2017/richdata2" ref="A2:D5">
    <sortCondition ref="A1:A5"/>
  </sortState>
  <tableColumns count="4">
    <tableColumn id="1" xr3:uid="{0CA4A8AA-7792-4190-9D71-89A3CD8A1A0B}" name="Full Date" dataDxfId="8"/>
    <tableColumn id="2" xr3:uid="{BFB0CD10-B9E2-47A1-8DFE-A3C97BCB02DE}" name="Type"/>
    <tableColumn id="3" xr3:uid="{B14DD7AC-98DB-4011-996E-7F80FD308ED0}" name="Hour" dataDxfId="7"/>
    <tableColumn id="4" xr3:uid="{8303517F-4233-42A8-AAA2-EAEF540AF888}" name="Break"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BB5C80-7212-4BA2-8670-346DF38D0BF1}" name="Table8" displayName="Table8" ref="A1:E2" insertRow="1" totalsRowShown="0">
  <autoFilter ref="A1:E2" xr:uid="{83BB5C80-7212-4BA2-8670-346DF38D0BF1}"/>
  <sortState xmlns:xlrd2="http://schemas.microsoft.com/office/spreadsheetml/2017/richdata2" ref="A2:E3">
    <sortCondition ref="C1:C3"/>
  </sortState>
  <tableColumns count="5">
    <tableColumn id="1" xr3:uid="{C40DC1D0-68DC-49F1-B893-D15827DBB7C2}" name="Type"/>
    <tableColumn id="2" xr3:uid="{8D8D1E26-189C-463D-A83F-BE9D2A90CB7D}" name="Date" dataDxfId="11"/>
    <tableColumn id="5" xr3:uid="{4B04ECEC-78D9-419E-8D17-8BC57C00F10E}" name="Year"/>
    <tableColumn id="4" xr3:uid="{4FFC8A6E-CC72-4608-8281-791B1B043966}" name="Rate" dataDxfId="10"/>
    <tableColumn id="6" xr3:uid="{9FA40F27-A413-4863-ACCF-3733136B2D13}" name="Notes" dataDxfId="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58C79E-3CEF-4B38-AD12-268ABAE90A88}" name="TblRecords" displayName="TblRecords" ref="A1:N2" totalsRowShown="0" headerRowDxfId="29" dataDxfId="28">
  <autoFilter ref="A1:N2" xr:uid="{4958C79E-3CEF-4B38-AD12-268ABAE90A88}"/>
  <sortState xmlns:xlrd2="http://schemas.microsoft.com/office/spreadsheetml/2017/richdata2" ref="A2:N2">
    <sortCondition ref="A1:A2"/>
  </sortState>
  <tableColumns count="14">
    <tableColumn id="15" xr3:uid="{99B628AC-9B4A-42E0-93D8-FCF4A11B7302}" name="No" dataDxfId="27"/>
    <tableColumn id="14" xr3:uid="{25CD93D7-35DF-4195-B385-96785DC5A1D2}" name="Payroll Year" dataDxfId="26"/>
    <tableColumn id="18" xr3:uid="{7FD7D71A-25A4-4B38-9AD8-03D1251AA811}" name="Payroll Month" dataDxfId="14">
      <calculatedColumnFormula array="1">TEXT(D2 - Table7[End Period Date], "MMMM")</calculatedColumnFormula>
    </tableColumn>
    <tableColumn id="16" xr3:uid="{3B0E200E-9E69-409A-A143-28E0C5E3EA22}" name="Full Date" dataDxfId="15"/>
    <tableColumn id="5" xr3:uid="{4B7CDFC7-6598-4CEE-9061-84689EE5BAEF}" name="Shift" dataDxfId="13"/>
    <tableColumn id="7" xr3:uid="{835D7FFA-836A-45D4-AA89-50713F2DC854}" name="Overtime Hour" dataDxfId="12">
      <calculatedColumnFormula>IF(OR(TblRecords[[#This Row],[Notes]]="OVERTIME",TblRecords[[#This Row],[Notes]]="HOLIDAY OVERTIME"),_xlfn.XLOOKUP(TblRecords[[#This Row],[Full Date]],TblEvent[Full Date],TblEvent[Hour]),0)</calculatedColumnFormula>
    </tableColumn>
    <tableColumn id="17" xr3:uid="{4A97A861-4494-4244-B5A6-FE681DF4EE18}" name="Overtime Break" dataDxfId="25">
      <calculatedColumnFormula>IF(OR(TblRecords[[#This Row],[Notes]]="OVERTIME",TblRecords[[#This Row],[Notes]]="HOLIDAY OVERTIME"),_xlfn.XLOOKUP(TblRecords[[#This Row],[Full Date]],TblEvent[Full Date],TblEvent[Break]),0)</calculatedColumnFormula>
    </tableColumn>
    <tableColumn id="8" xr3:uid="{A9CA14C4-9FB2-4CF7-836B-E39E14F55134}" name="Start Time" dataDxfId="24">
      <calculatedColumnFormula>_xlfn.XLOOKUP(TblRecords[[#This Row],[Shift]],Table6[Shift],Table6[Time],TIME(0,0,0))</calculatedColumnFormula>
    </tableColumn>
    <tableColumn id="9" xr3:uid="{D357A76F-68E5-4DCE-86DA-2DA36015DA8C}" name="End Time" dataDxfId="23">
      <calculatedColumnFormula array="1">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calculatedColumnFormula>
    </tableColumn>
    <tableColumn id="10" xr3:uid="{E53A7312-EB32-46DD-B9A8-D41C8D0C6166}" name="Daily Pay" dataDxfId="22">
      <calculatedColumnFormula>IF(AND(ISNUMBER(TblRecords[[#This Row],[Shift]]),TblRecords[[#This Row],[Shift]]&gt;0),IF(TblRecords[[#This Row],[Notes]]="HOLIDAY OVERTIME",0,_xlfn.XLOOKUP(TblRecords[[#This Row],[Payroll Year]],TblDailyPay[Year],TblDailyPay[Rate])),0)</calculatedColumnFormula>
    </tableColumn>
    <tableColumn id="12" xr3:uid="{88DF6CD5-B405-4A0D-9F4B-1D78551443D4}" name="Overtime Pay" dataDxfId="21">
      <calculatedColumnFormula array="1">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calculatedColumnFormula>
    </tableColumn>
    <tableColumn id="1" xr3:uid="{892EBA2C-2BCE-403C-BD34-19E5CCA8B0AE}" name="Deduction" dataDxfId="20">
      <calculatedColumnFormula array="1">_xlfn.XLOOKUP(1,(DAY(TblRecords[[#This Row],[Full Date]])=Table8[Date])*(TblRecords[[#This Row],[Payroll Year]]=Table8[Year]),Table8[Rate],_xlfn.XLOOKUP(TblRecords[[#This Row],[Full Date]],Table8[Date],Table8[Rate],0))</calculatedColumnFormula>
    </tableColumn>
    <tableColumn id="3" xr3:uid="{080BC581-1A9D-494F-9802-1DB65ADD2A0E}" name="Deduction Type" dataDxfId="19">
      <calculatedColumnFormula array="1">_xlfn.XLOOKUP(1,(DAY(TblRecords[[#This Row],[Full Date]])=Table8[Date])*(TblRecords[[#This Row],[Payroll Year]]=Table8[Year]),Table8[Type],_xlfn.XLOOKUP(TblRecords[[#This Row],[Full Date]],Table8[Date],Table8[Type],"No Deduction"))</calculatedColumnFormula>
    </tableColumn>
    <tableColumn id="13" xr3:uid="{4327DDAD-FF85-4EF9-B04C-158FAA8BEDC4}" name="Notes" dataDxfId="18">
      <calculatedColumnFormula>IF(ISNUMBER(TblRecords[[#This Row],[Shift]]),_xlfn.XLOOKUP(TblRecords[[#This Row],[Full Date]],TblEvent[Full Date],TblEvent[Type],"ATTENDED"),"OFF")</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5.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679E-0755-4172-B699-7117809BCFEF}">
  <dimension ref="A1:P20"/>
  <sheetViews>
    <sheetView tabSelected="1" zoomScale="115" zoomScaleNormal="115" workbookViewId="0">
      <selection activeCell="A3" sqref="A3:B3"/>
    </sheetView>
  </sheetViews>
  <sheetFormatPr defaultRowHeight="14.4" x14ac:dyDescent="0.3"/>
  <cols>
    <col min="1" max="1" width="6.88671875" style="13" bestFit="1" customWidth="1"/>
    <col min="2" max="2" width="12.77734375" style="7" bestFit="1" customWidth="1"/>
    <col min="3" max="3" width="1.77734375" customWidth="1"/>
    <col min="4" max="4" width="6.88671875" bestFit="1" customWidth="1"/>
    <col min="5" max="5" width="11.88671875" style="14" bestFit="1" customWidth="1"/>
    <col min="6" max="6" width="12.77734375" style="7" bestFit="1" customWidth="1"/>
    <col min="7" max="7" width="1.77734375" customWidth="1"/>
    <col min="8" max="8" width="6.88671875" bestFit="1" customWidth="1"/>
    <col min="9" max="9" width="11.88671875" style="14" bestFit="1" customWidth="1"/>
    <col min="10" max="10" width="12.77734375" style="7" bestFit="1" customWidth="1"/>
    <col min="11" max="11" width="1.88671875" customWidth="1"/>
    <col min="12" max="12" width="18" customWidth="1"/>
    <col min="13" max="13" width="17" customWidth="1"/>
    <col min="14" max="14" width="1.77734375" customWidth="1"/>
    <col min="16" max="16" width="8.88671875" style="14"/>
  </cols>
  <sheetData>
    <row r="1" spans="1:16" x14ac:dyDescent="0.3">
      <c r="A1" s="30" t="s">
        <v>3</v>
      </c>
      <c r="B1" s="30"/>
      <c r="D1" s="31" t="s">
        <v>4</v>
      </c>
      <c r="E1" s="31"/>
      <c r="F1" s="31"/>
      <c r="G1" s="31"/>
      <c r="H1" s="31"/>
      <c r="I1" s="31"/>
      <c r="J1" s="31"/>
      <c r="L1" s="29" t="s">
        <v>36</v>
      </c>
      <c r="M1" s="29"/>
      <c r="O1" s="29" t="s">
        <v>48</v>
      </c>
      <c r="P1" s="29"/>
    </row>
    <row r="2" spans="1:16" x14ac:dyDescent="0.3">
      <c r="A2" s="13" t="s">
        <v>24</v>
      </c>
      <c r="B2" s="7" t="s">
        <v>35</v>
      </c>
      <c r="D2" s="32" t="s">
        <v>29</v>
      </c>
      <c r="E2" s="32"/>
      <c r="F2" s="32"/>
      <c r="H2" s="33" t="s">
        <v>27</v>
      </c>
      <c r="I2" s="33"/>
      <c r="J2" s="33"/>
      <c r="L2" t="s">
        <v>40</v>
      </c>
      <c r="M2" t="s">
        <v>41</v>
      </c>
      <c r="O2" t="s">
        <v>0</v>
      </c>
      <c r="P2" s="14" t="s">
        <v>47</v>
      </c>
    </row>
    <row r="3" spans="1:16" x14ac:dyDescent="0.3">
      <c r="D3" t="s">
        <v>24</v>
      </c>
      <c r="E3" s="14" t="s">
        <v>28</v>
      </c>
      <c r="F3" s="7" t="s">
        <v>35</v>
      </c>
      <c r="H3" t="s">
        <v>24</v>
      </c>
      <c r="I3" s="14" t="s">
        <v>28</v>
      </c>
      <c r="J3" s="7" t="s">
        <v>35</v>
      </c>
    </row>
    <row r="17" spans="11:11" x14ac:dyDescent="0.3">
      <c r="K17" s="7"/>
    </row>
    <row r="18" spans="11:11" x14ac:dyDescent="0.3">
      <c r="K18" s="7"/>
    </row>
    <row r="19" spans="11:11" x14ac:dyDescent="0.3">
      <c r="K19" s="7"/>
    </row>
    <row r="20" spans="11:11" x14ac:dyDescent="0.3">
      <c r="K20" s="7"/>
    </row>
  </sheetData>
  <mergeCells count="6">
    <mergeCell ref="O1:P1"/>
    <mergeCell ref="A1:B1"/>
    <mergeCell ref="D1:J1"/>
    <mergeCell ref="D2:F2"/>
    <mergeCell ref="H2:J2"/>
    <mergeCell ref="L1:M1"/>
  </mergeCells>
  <pageMargins left="0.7" right="0.7" top="0.75" bottom="0.75" header="0.3" footer="0.3"/>
  <pageSetup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AF44-18CC-4F72-8DE0-7641EBC00E27}">
  <dimension ref="A1:D119"/>
  <sheetViews>
    <sheetView workbookViewId="0">
      <selection activeCell="A2" sqref="A2:D2"/>
    </sheetView>
  </sheetViews>
  <sheetFormatPr defaultRowHeight="14.4" x14ac:dyDescent="0.3"/>
  <cols>
    <col min="1" max="1" width="10.44140625" style="16" bestFit="1" customWidth="1"/>
    <col min="2" max="2" width="17.21875" bestFit="1" customWidth="1"/>
    <col min="3" max="3" width="15.44140625" style="14" bestFit="1" customWidth="1"/>
    <col min="4" max="4" width="16.21875" style="14" bestFit="1" customWidth="1"/>
  </cols>
  <sheetData>
    <row r="1" spans="1:4" x14ac:dyDescent="0.3">
      <c r="A1" s="16" t="s">
        <v>9</v>
      </c>
      <c r="B1" t="s">
        <v>25</v>
      </c>
      <c r="C1" s="14" t="s">
        <v>26</v>
      </c>
      <c r="D1" s="14" t="s">
        <v>32</v>
      </c>
    </row>
    <row r="2" spans="1:4" x14ac:dyDescent="0.3">
      <c r="A2" s="2"/>
    </row>
    <row r="3" spans="1:4" x14ac:dyDescent="0.3">
      <c r="A3" s="2"/>
    </row>
    <row r="4" spans="1:4" x14ac:dyDescent="0.3">
      <c r="A4" s="2"/>
    </row>
    <row r="5" spans="1:4" x14ac:dyDescent="0.3">
      <c r="A5" s="2"/>
    </row>
    <row r="6" spans="1:4" x14ac:dyDescent="0.3">
      <c r="A6" s="2"/>
    </row>
    <row r="7" spans="1:4" x14ac:dyDescent="0.3">
      <c r="A7" s="2"/>
    </row>
    <row r="8" spans="1:4" x14ac:dyDescent="0.3">
      <c r="A8" s="2"/>
    </row>
    <row r="9" spans="1:4" x14ac:dyDescent="0.3">
      <c r="A9" s="2"/>
    </row>
    <row r="10" spans="1:4" x14ac:dyDescent="0.3">
      <c r="A10" s="2"/>
    </row>
    <row r="11" spans="1:4" x14ac:dyDescent="0.3">
      <c r="A11" s="2"/>
    </row>
    <row r="12" spans="1:4" x14ac:dyDescent="0.3">
      <c r="A12" s="2"/>
    </row>
    <row r="13" spans="1:4" x14ac:dyDescent="0.3">
      <c r="A13" s="2"/>
    </row>
    <row r="14" spans="1:4" x14ac:dyDescent="0.3">
      <c r="A14" s="2"/>
    </row>
    <row r="15" spans="1:4" x14ac:dyDescent="0.3">
      <c r="A15" s="2"/>
    </row>
    <row r="16" spans="1:4"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2"/>
    </row>
    <row r="55" spans="1:1" x14ac:dyDescent="0.3">
      <c r="A55" s="2"/>
    </row>
    <row r="56" spans="1:1" x14ac:dyDescent="0.3">
      <c r="A56" s="2"/>
    </row>
    <row r="57" spans="1:1" x14ac:dyDescent="0.3">
      <c r="A57" s="2"/>
    </row>
    <row r="58" spans="1:1" x14ac:dyDescent="0.3">
      <c r="A58" s="2"/>
    </row>
    <row r="59" spans="1:1" x14ac:dyDescent="0.3">
      <c r="A59" s="2"/>
    </row>
    <row r="60" spans="1:1" x14ac:dyDescent="0.3">
      <c r="A60" s="2"/>
    </row>
    <row r="61" spans="1:1" x14ac:dyDescent="0.3">
      <c r="A61" s="2"/>
    </row>
    <row r="62" spans="1:1" x14ac:dyDescent="0.3">
      <c r="A62" s="2"/>
    </row>
    <row r="63" spans="1:1" x14ac:dyDescent="0.3">
      <c r="A63" s="2"/>
    </row>
    <row r="64" spans="1:1" x14ac:dyDescent="0.3">
      <c r="A64" s="2"/>
    </row>
    <row r="65" spans="1:1" x14ac:dyDescent="0.3">
      <c r="A65" s="2"/>
    </row>
    <row r="66" spans="1:1" x14ac:dyDescent="0.3">
      <c r="A66" s="2"/>
    </row>
    <row r="67" spans="1:1" x14ac:dyDescent="0.3">
      <c r="A67" s="2"/>
    </row>
    <row r="68" spans="1:1" x14ac:dyDescent="0.3">
      <c r="A68" s="2"/>
    </row>
    <row r="69" spans="1:1" x14ac:dyDescent="0.3">
      <c r="A69" s="2"/>
    </row>
    <row r="70" spans="1:1" x14ac:dyDescent="0.3">
      <c r="A70" s="2"/>
    </row>
    <row r="71" spans="1:1" x14ac:dyDescent="0.3">
      <c r="A71" s="2"/>
    </row>
    <row r="72" spans="1:1" x14ac:dyDescent="0.3">
      <c r="A72" s="2"/>
    </row>
    <row r="73" spans="1:1" x14ac:dyDescent="0.3">
      <c r="A73" s="2"/>
    </row>
    <row r="74" spans="1:1" x14ac:dyDescent="0.3">
      <c r="A74" s="2"/>
    </row>
    <row r="75" spans="1:1" x14ac:dyDescent="0.3">
      <c r="A75" s="2"/>
    </row>
    <row r="76" spans="1:1" x14ac:dyDescent="0.3">
      <c r="A76" s="2"/>
    </row>
    <row r="77" spans="1:1" x14ac:dyDescent="0.3">
      <c r="A77" s="2"/>
    </row>
    <row r="78" spans="1:1" x14ac:dyDescent="0.3">
      <c r="A78" s="2"/>
    </row>
    <row r="79" spans="1:1" x14ac:dyDescent="0.3">
      <c r="A79" s="2"/>
    </row>
    <row r="80" spans="1:1" x14ac:dyDescent="0.3">
      <c r="A80" s="2"/>
    </row>
    <row r="81" spans="1:1" x14ac:dyDescent="0.3">
      <c r="A81" s="2"/>
    </row>
    <row r="82" spans="1:1" x14ac:dyDescent="0.3">
      <c r="A82" s="2"/>
    </row>
    <row r="83" spans="1:1" x14ac:dyDescent="0.3">
      <c r="A83" s="2"/>
    </row>
    <row r="84" spans="1:1" x14ac:dyDescent="0.3">
      <c r="A84" s="2"/>
    </row>
    <row r="85" spans="1:1" x14ac:dyDescent="0.3">
      <c r="A85" s="2"/>
    </row>
    <row r="86" spans="1:1" x14ac:dyDescent="0.3">
      <c r="A86" s="2"/>
    </row>
    <row r="87" spans="1:1" x14ac:dyDescent="0.3">
      <c r="A87" s="2"/>
    </row>
    <row r="88" spans="1:1" x14ac:dyDescent="0.3">
      <c r="A88" s="2"/>
    </row>
    <row r="89" spans="1:1" x14ac:dyDescent="0.3">
      <c r="A89" s="2"/>
    </row>
    <row r="90" spans="1:1" x14ac:dyDescent="0.3">
      <c r="A90" s="2"/>
    </row>
    <row r="91" spans="1:1" x14ac:dyDescent="0.3">
      <c r="A91" s="2"/>
    </row>
    <row r="92" spans="1:1" x14ac:dyDescent="0.3">
      <c r="A92" s="2"/>
    </row>
    <row r="93" spans="1:1" x14ac:dyDescent="0.3">
      <c r="A93" s="2"/>
    </row>
    <row r="94" spans="1:1" x14ac:dyDescent="0.3">
      <c r="A94" s="2"/>
    </row>
    <row r="95" spans="1:1" x14ac:dyDescent="0.3">
      <c r="A95" s="2"/>
    </row>
    <row r="96" spans="1:1" x14ac:dyDescent="0.3">
      <c r="A96" s="2"/>
    </row>
    <row r="97" spans="1:1" x14ac:dyDescent="0.3">
      <c r="A97" s="2"/>
    </row>
    <row r="98" spans="1:1" x14ac:dyDescent="0.3">
      <c r="A98" s="2"/>
    </row>
    <row r="99" spans="1:1" x14ac:dyDescent="0.3">
      <c r="A99" s="2"/>
    </row>
    <row r="100" spans="1:1" x14ac:dyDescent="0.3">
      <c r="A100" s="2"/>
    </row>
    <row r="101" spans="1:1" x14ac:dyDescent="0.3">
      <c r="A101" s="2"/>
    </row>
    <row r="102" spans="1:1" x14ac:dyDescent="0.3">
      <c r="A102" s="2"/>
    </row>
    <row r="103" spans="1:1" x14ac:dyDescent="0.3">
      <c r="A103" s="2"/>
    </row>
    <row r="104" spans="1:1" x14ac:dyDescent="0.3">
      <c r="A104" s="2"/>
    </row>
    <row r="105" spans="1:1" x14ac:dyDescent="0.3">
      <c r="A105" s="2"/>
    </row>
    <row r="106" spans="1:1" x14ac:dyDescent="0.3">
      <c r="A106" s="2"/>
    </row>
    <row r="107" spans="1:1" x14ac:dyDescent="0.3">
      <c r="A107" s="2"/>
    </row>
    <row r="108" spans="1:1" x14ac:dyDescent="0.3">
      <c r="A108" s="2"/>
    </row>
    <row r="109" spans="1:1" x14ac:dyDescent="0.3">
      <c r="A109" s="2"/>
    </row>
    <row r="110" spans="1:1" x14ac:dyDescent="0.3">
      <c r="A110" s="2"/>
    </row>
    <row r="111" spans="1:1" x14ac:dyDescent="0.3">
      <c r="A111" s="2"/>
    </row>
    <row r="112" spans="1:1" x14ac:dyDescent="0.3">
      <c r="A112" s="2"/>
    </row>
    <row r="113" spans="1:1" x14ac:dyDescent="0.3">
      <c r="A113" s="2"/>
    </row>
    <row r="114" spans="1:1" x14ac:dyDescent="0.3">
      <c r="A114" s="2"/>
    </row>
    <row r="115" spans="1:1" x14ac:dyDescent="0.3">
      <c r="A115" s="2"/>
    </row>
    <row r="116" spans="1:1" x14ac:dyDescent="0.3">
      <c r="A116" s="2"/>
    </row>
    <row r="117" spans="1:1" x14ac:dyDescent="0.3">
      <c r="A117" s="2"/>
    </row>
    <row r="118" spans="1:1" x14ac:dyDescent="0.3">
      <c r="A118" s="2"/>
    </row>
    <row r="119" spans="1:1" x14ac:dyDescent="0.3">
      <c r="A119" s="2"/>
    </row>
  </sheetData>
  <dataValidations count="1">
    <dataValidation type="list" allowBlank="1" showInputMessage="1" showErrorMessage="1" sqref="B2" xr:uid="{FBD88F9B-072B-42D8-ABF2-6A5ADA6E7736}">
      <formula1>"OVERTIME,HOLIDAY OVERTIME,SICK,PERMITTED"</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60F4-AE0F-4CFF-91E5-5D4411144035}">
  <dimension ref="A1:E3"/>
  <sheetViews>
    <sheetView zoomScale="130" zoomScaleNormal="130" workbookViewId="0">
      <selection activeCell="A2" sqref="A2:E2"/>
    </sheetView>
  </sheetViews>
  <sheetFormatPr defaultRowHeight="14.4" x14ac:dyDescent="0.3"/>
  <cols>
    <col min="1" max="1" width="17.21875" bestFit="1" customWidth="1"/>
    <col min="2" max="3" width="10.33203125" bestFit="1" customWidth="1"/>
    <col min="4" max="4" width="12.88671875" bestFit="1" customWidth="1"/>
    <col min="5" max="5" width="51.77734375" style="7" bestFit="1" customWidth="1"/>
    <col min="6" max="6" width="10.33203125" customWidth="1"/>
  </cols>
  <sheetData>
    <row r="1" spans="1:5" x14ac:dyDescent="0.3">
      <c r="A1" t="s">
        <v>25</v>
      </c>
      <c r="B1" t="s">
        <v>39</v>
      </c>
      <c r="C1" t="s">
        <v>24</v>
      </c>
      <c r="D1" s="7" t="s">
        <v>35</v>
      </c>
      <c r="E1" t="s">
        <v>21</v>
      </c>
    </row>
    <row r="2" spans="1:5" x14ac:dyDescent="0.3">
      <c r="D2" s="7"/>
      <c r="E2"/>
    </row>
    <row r="3" spans="1:5" x14ac:dyDescent="0.3">
      <c r="D3" s="7"/>
      <c r="E3"/>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30789-8B70-814E-9D7E-07BA835872C2}">
  <sheetPr>
    <pageSetUpPr autoPageBreaks="0"/>
  </sheetPr>
  <dimension ref="A1:P346"/>
  <sheetViews>
    <sheetView zoomScale="70" zoomScaleNormal="70" zoomScaleSheetLayoutView="100" workbookViewId="0">
      <selection activeCell="D2" sqref="D2:E2"/>
    </sheetView>
  </sheetViews>
  <sheetFormatPr defaultRowHeight="14.4" x14ac:dyDescent="0.3"/>
  <cols>
    <col min="1" max="1" width="8.44140625" style="4" bestFit="1" customWidth="1"/>
    <col min="2" max="2" width="16.21875" style="4" bestFit="1" customWidth="1"/>
    <col min="3" max="3" width="17.77734375" style="2" bestFit="1" customWidth="1"/>
    <col min="4" max="4" width="13.6640625" style="3" bestFit="1" customWidth="1"/>
    <col min="5" max="5" width="10.21875" style="5" bestFit="1" customWidth="1"/>
    <col min="6" max="6" width="18.5546875" style="1" bestFit="1" customWidth="1"/>
    <col min="7" max="7" width="19.5546875" style="5" bestFit="1" customWidth="1"/>
    <col min="8" max="8" width="14.88671875" bestFit="1" customWidth="1"/>
    <col min="9" max="9" width="13.88671875" style="7" bestFit="1" customWidth="1"/>
    <col min="10" max="10" width="14" style="7" bestFit="1" customWidth="1"/>
    <col min="11" max="11" width="17.6640625" bestFit="1" customWidth="1"/>
    <col min="12" max="12" width="18.109375" bestFit="1" customWidth="1"/>
    <col min="13" max="13" width="17.6640625" style="7" bestFit="1" customWidth="1"/>
    <col min="14" max="14" width="18.109375" bestFit="1" customWidth="1"/>
    <col min="15" max="15" width="15.77734375" bestFit="1" customWidth="1"/>
    <col min="16" max="16" width="10.44140625" bestFit="1" customWidth="1"/>
  </cols>
  <sheetData>
    <row r="1" spans="1:14" x14ac:dyDescent="0.3">
      <c r="A1" s="4" t="s">
        <v>5</v>
      </c>
      <c r="B1" s="4" t="s">
        <v>19</v>
      </c>
      <c r="C1" s="8" t="s">
        <v>7</v>
      </c>
      <c r="D1" s="2" t="s">
        <v>9</v>
      </c>
      <c r="E1" s="9" t="s">
        <v>0</v>
      </c>
      <c r="F1" s="5" t="s">
        <v>30</v>
      </c>
      <c r="G1" s="5" t="s">
        <v>31</v>
      </c>
      <c r="H1" s="5" t="s">
        <v>1</v>
      </c>
      <c r="I1" s="1" t="s">
        <v>2</v>
      </c>
      <c r="J1" s="6" t="s">
        <v>3</v>
      </c>
      <c r="K1" s="6" t="s">
        <v>4</v>
      </c>
      <c r="L1" s="6" t="s">
        <v>34</v>
      </c>
      <c r="M1" s="6" t="s">
        <v>37</v>
      </c>
      <c r="N1" s="1" t="s">
        <v>21</v>
      </c>
    </row>
    <row r="2" spans="1:14" x14ac:dyDescent="0.3">
      <c r="A2" s="4">
        <v>1</v>
      </c>
      <c r="B2" s="4">
        <v>2025</v>
      </c>
      <c r="C2" s="8" t="str" cm="1">
        <f t="array" ref="C2">TEXT(D2 - Table7[End Period Date], "MMMM")</f>
        <v>January</v>
      </c>
      <c r="D2" s="2"/>
      <c r="E2" s="9"/>
      <c r="F2" s="5">
        <f>IF(OR(TblRecords[[#This Row],[Notes]]="OVERTIME",TblRecords[[#This Row],[Notes]]="HOLIDAY OVERTIME"),_xlfn.XLOOKUP(TblRecords[[#This Row],[Full Date]],TblEvent[Full Date],TblEvent[Hour]),0)</f>
        <v>0</v>
      </c>
      <c r="G2" s="5">
        <f>IF(OR(TblRecords[[#This Row],[Notes]]="OVERTIME",TblRecords[[#This Row],[Notes]]="HOLIDAY OVERTIME"),_xlfn.XLOOKUP(TblRecords[[#This Row],[Full Date]],TblEvent[Full Date],TblEvent[Break]),0)</f>
        <v>0</v>
      </c>
      <c r="H2" s="5">
        <f>_xlfn.XLOOKUP(TblRecords[[#This Row],[Shift]],Table6[Shift],Table6[Time],TIME(0,0,0))</f>
        <v>0</v>
      </c>
      <c r="I2" s="5" cm="1">
        <f t="array" ref="I2">IF(OR(TblRecords[[#This Row],[Notes]]="OFF",TblRecords[[#This Row],[Notes]]="SICK",TblRecords[[#This Row],[Notes]]="PERMITTED"),TIME(0,0,0),_xlfn.SWITCH(TblRecords[[#This Row],[Notes]],"OVERTIME",TblRecords[[#This Row],[Start Time]]+TIME(8,0,0)+TblRecords[[#This Row],[Overtime Hour]]+TblRecords[[#This Row],[Overtime Break]],"HOLIDAY OVERTIME",TblRecords[[#This Row],[Start Time]]+TblRecords[[#This Row],[Overtime Hour]]+TblRecords[[#This Row],[Overtime Break]],"ATTENDED",TblRecords[[#This Row],[Start Time]]+TIME(8,30,0)))</f>
        <v>0</v>
      </c>
      <c r="J2" s="6">
        <f>IF(AND(ISNUMBER(TblRecords[[#This Row],[Shift]]),TblRecords[[#This Row],[Shift]]&gt;0),IF(TblRecords[[#This Row],[Notes]]="HOLIDAY OVERTIME",0,_xlfn.XLOOKUP(TblRecords[[#This Row],[Payroll Year]],TblDailyPay[Year],TblDailyPay[Rate])),0)</f>
        <v>0</v>
      </c>
      <c r="K2" s="6" cm="1">
        <f t="array" ref="K2">IF(TblRecords[[#This Row],[Notes]]="HOLIDAY OVERTIME",_xlfn.XLOOKUP(1,(TblRecords[[#This Row],[Payroll Year]]=TblHOvertime[Year])*(TblRecords[[#This Row],[Overtime Hour]]=TblHOvertime[Work Hour]),TblHOvertime[Rate],"Not Found"),IF(TblRecords[[#This Row],[Notes]]="OVERTIME",_xlfn.XLOOKUP(1,(TblRecords[[#This Row],[Payroll Year]]=TblHOvertime[Year])*(TblRecords[[#This Row],[Overtime Hour]]=TblOvertime[Work Hour]),TblOvertime[Rate],"Not Found"),0))</f>
        <v>0</v>
      </c>
      <c r="L2" s="6" cm="1">
        <f t="array" ref="L2">_xlfn.XLOOKUP(1,(DAY(TblRecords[[#This Row],[Full Date]])=Table8[Date])*(TblRecords[[#This Row],[Payroll Year]]=Table8[Year]),Table8[Rate],_xlfn.XLOOKUP(TblRecords[[#This Row],[Full Date]],Table8[Date],Table8[Rate],0))</f>
        <v>0</v>
      </c>
      <c r="M2" s="6" cm="1">
        <f t="array" ref="M2">_xlfn.XLOOKUP(1,(DAY(TblRecords[[#This Row],[Full Date]])=Table8[Date])*(TblRecords[[#This Row],[Payroll Year]]=Table8[Year]),Table8[Type],_xlfn.XLOOKUP(TblRecords[[#This Row],[Full Date]],Table8[Date],Table8[Type],"No Deduction"))</f>
        <v>0</v>
      </c>
      <c r="N2" t="str">
        <f>IF(ISNUMBER(TblRecords[[#This Row],[Shift]]),_xlfn.XLOOKUP(TblRecords[[#This Row],[Full Date]],TblEvent[Full Date],TblEvent[Type],"ATTENDED"),"OFF")</f>
        <v>OFF</v>
      </c>
    </row>
    <row r="305" spans="15:15" x14ac:dyDescent="0.3">
      <c r="O305" s="7"/>
    </row>
    <row r="346" spans="16:16" x14ac:dyDescent="0.3">
      <c r="P346" s="15"/>
    </row>
  </sheetData>
  <phoneticPr fontId="1" type="noConversion"/>
  <pageMargins left="0.7" right="0.7" top="0.75" bottom="0.75" header="0.3" footer="0.3"/>
  <pageSetup orientation="portrait" r:id="rId1"/>
  <ignoredErrors>
    <ignoredError sqref="C2"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64AE-C3B0-4716-B328-E94B155D5DA0}">
  <dimension ref="A1:M39"/>
  <sheetViews>
    <sheetView topLeftCell="C1" zoomScaleNormal="100" workbookViewId="0">
      <selection activeCell="H22" sqref="H22"/>
    </sheetView>
  </sheetViews>
  <sheetFormatPr defaultRowHeight="14.4" x14ac:dyDescent="0.3"/>
  <cols>
    <col min="1" max="1" width="12.88671875" bestFit="1" customWidth="1"/>
    <col min="2" max="2" width="16.6640625" bestFit="1" customWidth="1"/>
    <col min="3" max="3" width="8.77734375" bestFit="1" customWidth="1"/>
    <col min="4" max="4" width="4.88671875" customWidth="1"/>
    <col min="5" max="5" width="13.109375" bestFit="1" customWidth="1"/>
    <col min="6" max="6" width="18.33203125" bestFit="1" customWidth="1"/>
    <col min="7" max="7" width="15.6640625" style="7" bestFit="1" customWidth="1"/>
    <col min="8" max="8" width="12.44140625" bestFit="1" customWidth="1"/>
    <col min="9" max="9" width="15.6640625" bestFit="1" customWidth="1"/>
    <col min="10" max="10" width="13.77734375" bestFit="1" customWidth="1"/>
    <col min="11" max="15" width="14" bestFit="1" customWidth="1"/>
    <col min="16" max="16" width="7.77734375" bestFit="1" customWidth="1"/>
    <col min="17" max="18" width="14" bestFit="1" customWidth="1"/>
    <col min="19" max="19" width="14.88671875" bestFit="1" customWidth="1"/>
  </cols>
  <sheetData>
    <row r="1" spans="1:13" x14ac:dyDescent="0.3">
      <c r="A1" t="s">
        <v>14</v>
      </c>
      <c r="B1" t="s">
        <v>13</v>
      </c>
      <c r="C1" s="12" t="s">
        <v>18</v>
      </c>
      <c r="E1" t="s">
        <v>15</v>
      </c>
      <c r="F1" t="s">
        <v>33</v>
      </c>
      <c r="G1" t="s">
        <v>38</v>
      </c>
      <c r="J1" s="10" t="s">
        <v>10</v>
      </c>
      <c r="K1" t="s">
        <v>22</v>
      </c>
      <c r="M1">
        <f>IFERROR(GETPIVOTDATA("Notes",$J$1,"Notes","ATTENDED"),0)</f>
        <v>0</v>
      </c>
    </row>
    <row r="2" spans="1:13" x14ac:dyDescent="0.3">
      <c r="A2" s="43">
        <v>1</v>
      </c>
      <c r="B2" s="43"/>
      <c r="C2">
        <f>GETPIVOTDATA("Calender Days",$A$1)-GETPIVOTDATA("Total Working Days",$A$1)</f>
        <v>1</v>
      </c>
      <c r="E2" s="7">
        <v>0</v>
      </c>
      <c r="F2" s="7">
        <v>0</v>
      </c>
      <c r="G2" s="7">
        <v>0</v>
      </c>
      <c r="J2" s="11" t="s">
        <v>6</v>
      </c>
      <c r="K2" s="43">
        <v>1</v>
      </c>
      <c r="M2">
        <f>IFERROR(GETPIVOTDATA("Notes",$J$1,"Notes","OFF"),0)</f>
        <v>1</v>
      </c>
    </row>
    <row r="3" spans="1:13" x14ac:dyDescent="0.3">
      <c r="G3"/>
      <c r="H3" s="7">
        <f>GETPIVOTDATA("Sum of Deduction",$E$1)</f>
        <v>0</v>
      </c>
      <c r="J3" s="11" t="s">
        <v>11</v>
      </c>
      <c r="K3" s="43">
        <v>1</v>
      </c>
      <c r="M3">
        <f>IFERROR(GETPIVOTDATA("Notes",$J$1,"Notes","OVERTIME"),0)</f>
        <v>0</v>
      </c>
    </row>
    <row r="4" spans="1:13" x14ac:dyDescent="0.3">
      <c r="A4" t="s">
        <v>12</v>
      </c>
      <c r="E4" s="12" t="s">
        <v>16</v>
      </c>
      <c r="F4" s="12" t="s">
        <v>17</v>
      </c>
      <c r="G4"/>
      <c r="M4">
        <f>IFERROR(GETPIVOTDATA("Notes",$J$1,"Notes","HOLIDAY OVERTIME"),0)</f>
        <v>0</v>
      </c>
    </row>
    <row r="5" spans="1:13" x14ac:dyDescent="0.3">
      <c r="A5" s="43"/>
      <c r="E5" s="7">
        <f>GETPIVOTDATA("Total Daily Pay",$E$1)++GETPIVOTDATA("Sum of Overtime Pay",$E$1)</f>
        <v>0</v>
      </c>
      <c r="F5" s="7">
        <f>E5+GETPIVOTDATA("Sum of Deduction",$E$1)</f>
        <v>0</v>
      </c>
      <c r="G5"/>
    </row>
    <row r="6" spans="1:13" x14ac:dyDescent="0.3">
      <c r="E6" s="7"/>
      <c r="F6" s="7"/>
      <c r="G6"/>
    </row>
    <row r="7" spans="1:13" x14ac:dyDescent="0.3">
      <c r="E7" s="10" t="s">
        <v>10</v>
      </c>
      <c r="F7" t="s">
        <v>20</v>
      </c>
      <c r="G7"/>
    </row>
    <row r="8" spans="1:13" x14ac:dyDescent="0.3">
      <c r="E8" s="11" t="s">
        <v>8</v>
      </c>
      <c r="F8" s="7">
        <v>0</v>
      </c>
    </row>
    <row r="11" spans="1:13" x14ac:dyDescent="0.3">
      <c r="J11" t="s">
        <v>23</v>
      </c>
    </row>
    <row r="12" spans="1:13" x14ac:dyDescent="0.3">
      <c r="J12" s="13"/>
    </row>
    <row r="20" spans="5:9" x14ac:dyDescent="0.3">
      <c r="E20" t="s">
        <v>20</v>
      </c>
      <c r="G20"/>
    </row>
    <row r="21" spans="5:9" x14ac:dyDescent="0.3">
      <c r="E21" s="7">
        <v>0</v>
      </c>
      <c r="F21" s="7">
        <f>GETPIVOTDATA("Net Salary",$E$20)</f>
        <v>0</v>
      </c>
      <c r="G21"/>
    </row>
    <row r="22" spans="5:9" x14ac:dyDescent="0.3">
      <c r="E22" s="10" t="s">
        <v>10</v>
      </c>
      <c r="F22" t="s">
        <v>38</v>
      </c>
      <c r="G22"/>
      <c r="H22" s="10" t="s">
        <v>10</v>
      </c>
      <c r="I22" t="s">
        <v>38</v>
      </c>
    </row>
    <row r="23" spans="5:9" x14ac:dyDescent="0.3">
      <c r="E23" s="11" t="s">
        <v>11</v>
      </c>
      <c r="F23" s="7"/>
      <c r="G23" s="7">
        <f>GETPIVOTDATA("Deduction",$H$22)*-1</f>
        <v>0</v>
      </c>
      <c r="H23" s="11" t="s">
        <v>11</v>
      </c>
      <c r="I23" s="7"/>
    </row>
    <row r="24" spans="5:9" x14ac:dyDescent="0.3">
      <c r="G24"/>
    </row>
    <row r="25" spans="5:9" x14ac:dyDescent="0.3">
      <c r="G25"/>
    </row>
    <row r="26" spans="5:9" x14ac:dyDescent="0.3">
      <c r="G26"/>
    </row>
    <row r="27" spans="5:9" x14ac:dyDescent="0.3">
      <c r="G27"/>
    </row>
    <row r="28" spans="5:9" x14ac:dyDescent="0.3">
      <c r="G28"/>
    </row>
    <row r="29" spans="5:9" x14ac:dyDescent="0.3">
      <c r="G29"/>
    </row>
    <row r="30" spans="5:9" x14ac:dyDescent="0.3">
      <c r="G30"/>
    </row>
    <row r="31" spans="5:9" x14ac:dyDescent="0.3">
      <c r="G31"/>
    </row>
    <row r="32" spans="5:9" x14ac:dyDescent="0.3">
      <c r="G32"/>
    </row>
    <row r="33" spans="7:7" x14ac:dyDescent="0.3">
      <c r="G33"/>
    </row>
    <row r="34" spans="7:7" x14ac:dyDescent="0.3">
      <c r="G34"/>
    </row>
    <row r="35" spans="7:7" x14ac:dyDescent="0.3">
      <c r="G35"/>
    </row>
    <row r="36" spans="7:7" x14ac:dyDescent="0.3">
      <c r="G36"/>
    </row>
    <row r="37" spans="7:7" x14ac:dyDescent="0.3">
      <c r="G37"/>
    </row>
    <row r="38" spans="7:7" x14ac:dyDescent="0.3">
      <c r="G38"/>
    </row>
    <row r="39" spans="7:7" x14ac:dyDescent="0.3">
      <c r="G39"/>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F527-2D2E-4872-B8CE-7C59DD9C1737}">
  <sheetPr>
    <pageSetUpPr fitToPage="1"/>
  </sheetPr>
  <dimension ref="A1"/>
  <sheetViews>
    <sheetView showGridLines="0" topLeftCell="A4" zoomScale="85" zoomScaleNormal="85" workbookViewId="0">
      <selection activeCell="V22" sqref="V22"/>
    </sheetView>
  </sheetViews>
  <sheetFormatPr defaultRowHeight="14.4" x14ac:dyDescent="0.3"/>
  <sheetData/>
  <pageMargins left="0.7" right="0.7" top="0.75" bottom="0.75" header="0.3" footer="0.3"/>
  <pageSetup scale="65"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C97A-D6F0-4D0E-90ED-025C1B3A5354}">
  <sheetPr>
    <pageSetUpPr fitToPage="1"/>
  </sheetPr>
  <dimension ref="A1:P49"/>
  <sheetViews>
    <sheetView zoomScale="85" zoomScaleNormal="85" workbookViewId="0">
      <selection activeCell="M23" sqref="M23"/>
    </sheetView>
  </sheetViews>
  <sheetFormatPr defaultRowHeight="14.4" x14ac:dyDescent="0.3"/>
  <cols>
    <col min="1" max="1" width="3.77734375" style="17" customWidth="1"/>
    <col min="2" max="2" width="10.33203125" style="18" bestFit="1" customWidth="1"/>
    <col min="3" max="3" width="10.6640625" style="17" bestFit="1" customWidth="1"/>
    <col min="4" max="4" width="10.33203125" style="20" bestFit="1" customWidth="1"/>
    <col min="5" max="5" width="9.33203125" style="17" bestFit="1" customWidth="1"/>
    <col min="6" max="7" width="10.77734375" customWidth="1"/>
    <col min="8" max="8" width="9.77734375" bestFit="1" customWidth="1"/>
  </cols>
  <sheetData>
    <row r="1" spans="1:16" x14ac:dyDescent="0.3">
      <c r="A1" s="34" t="s">
        <v>49</v>
      </c>
      <c r="B1" s="34"/>
      <c r="C1" s="34"/>
      <c r="D1" s="34"/>
      <c r="E1" s="34"/>
      <c r="F1" s="34"/>
      <c r="G1" s="34"/>
      <c r="H1" s="34"/>
      <c r="I1" s="34"/>
    </row>
    <row r="2" spans="1:16" x14ac:dyDescent="0.3">
      <c r="A2" s="34"/>
      <c r="B2" s="34"/>
      <c r="C2" s="34"/>
      <c r="D2" s="34"/>
      <c r="E2" s="34"/>
      <c r="F2" s="34"/>
      <c r="G2" s="34"/>
      <c r="H2" s="34"/>
      <c r="I2" s="34"/>
    </row>
    <row r="3" spans="1:16" x14ac:dyDescent="0.3">
      <c r="A3" s="42" t="s">
        <v>43</v>
      </c>
      <c r="B3" s="42"/>
      <c r="C3" s="11">
        <f>Table7[[#This Row],[Start Period Date]]</f>
        <v>0</v>
      </c>
      <c r="D3" s="27" t="s">
        <v>8</v>
      </c>
      <c r="E3" s="11">
        <v>2026</v>
      </c>
      <c r="F3" s="11" t="s">
        <v>44</v>
      </c>
      <c r="G3" s="11">
        <f>Table7[[#This Row],[End Period Date]]</f>
        <v>0</v>
      </c>
      <c r="H3" s="27" t="str">
        <f>IFERROR(EDATE(B7,1),"Not Found")</f>
        <v>Not Found</v>
      </c>
      <c r="I3" s="11">
        <v>2026</v>
      </c>
    </row>
    <row r="5" spans="1:16" x14ac:dyDescent="0.3">
      <c r="A5" s="41" t="s">
        <v>5</v>
      </c>
      <c r="B5" s="40" t="s">
        <v>9</v>
      </c>
      <c r="C5" s="41" t="s">
        <v>50</v>
      </c>
      <c r="D5" s="40" t="s">
        <v>47</v>
      </c>
      <c r="E5" s="40"/>
      <c r="F5" s="41" t="s">
        <v>21</v>
      </c>
      <c r="G5" s="41"/>
    </row>
    <row r="6" spans="1:16" x14ac:dyDescent="0.3">
      <c r="A6" s="41"/>
      <c r="B6" s="40"/>
      <c r="C6" s="41"/>
      <c r="D6" s="21" t="s">
        <v>51</v>
      </c>
      <c r="E6" s="19" t="s">
        <v>52</v>
      </c>
      <c r="F6" s="41"/>
      <c r="G6" s="41"/>
    </row>
    <row r="7" spans="1:16" x14ac:dyDescent="0.3">
      <c r="A7" s="22" cm="1">
        <f t="array" ref="A7">_xlfn.SEQUENCE(COUNTA(_xlfn.ANCHORARRAY(B7)))</f>
        <v>1</v>
      </c>
      <c r="B7" s="23" t="str" cm="1">
        <f t="array" ref="B7">_xlfn._xlws.FILTER(TblRecords[Full Date],(TblRecords[Payroll Month]=D3)*(TblRecords[Payroll Year]=E3),"Not Found")</f>
        <v>Not Found</v>
      </c>
      <c r="C7" s="22" t="str">
        <f>IF(ISBLANK(B7),"",TEXT(B7,"dddd"))</f>
        <v>Not Found</v>
      </c>
      <c r="D7" s="24" t="str">
        <f>_xlfn.IFNA(IF(ISBLANK(B7),"",IF(_xlfn.XLOOKUP(B7,TblRecords[Full Date],TblRecords[Start Time])=TIME(0,0,0),"OFF",_xlfn.XLOOKUP(B7,TblRecords[Full Date],TblRecords[Start Time]))),"Not Found")</f>
        <v>Not Found</v>
      </c>
      <c r="E7" s="24" t="str">
        <f>_xlfn.IFNA(IF(ISBLANK(B7),"",IF(_xlfn.XLOOKUP(B7,TblRecords[Full Date],TblRecords[End Time])=TIME(0,0,0),"OFF",_xlfn.XLOOKUP(B7,TblRecords[Full Date],TblRecords[End Time]))),"Not Found")</f>
        <v>Not Found</v>
      </c>
      <c r="F7" s="39" t="str">
        <f>_xlfn.XLOOKUP(B7,TblRecords[Full Date],TblRecords[Notes],"")</f>
        <v/>
      </c>
      <c r="G7" s="39"/>
    </row>
    <row r="8" spans="1:16" x14ac:dyDescent="0.3">
      <c r="A8" s="22"/>
      <c r="B8" s="23"/>
      <c r="C8" s="22" t="str">
        <f t="shared" ref="C8:C38" si="0">IF(ISBLANK(B8),"",TEXT(B8,"dddd"))</f>
        <v/>
      </c>
      <c r="D8" s="24" t="str">
        <f>IF(ISBLANK(B8),"",IF(_xlfn.XLOOKUP(B8,TblRecords[Full Date],TblRecords[Start Time])=TIME(0,0,0),"OFF",_xlfn.XLOOKUP(B8,TblRecords[Full Date],TblRecords[Start Time])))</f>
        <v/>
      </c>
      <c r="E8" s="24" t="str">
        <f>IF(ISBLANK(B8),"",IF(_xlfn.XLOOKUP(B8,TblRecords[Full Date],TblRecords[End Time])=TIME(0,0,0),"OFF",_xlfn.XLOOKUP(B8,TblRecords[Full Date],TblRecords[End Time])))</f>
        <v/>
      </c>
      <c r="F8" s="39" t="str">
        <f>_xlfn.XLOOKUP(B8,TblRecords[Full Date],TblRecords[Notes],"")</f>
        <v>OFF</v>
      </c>
      <c r="G8" s="39"/>
    </row>
    <row r="9" spans="1:16" x14ac:dyDescent="0.3">
      <c r="A9" s="22"/>
      <c r="B9" s="23"/>
      <c r="C9" s="22" t="str">
        <f t="shared" si="0"/>
        <v/>
      </c>
      <c r="D9" s="24" t="str">
        <f>IF(ISBLANK(B9),"",IF(_xlfn.XLOOKUP(B9,TblRecords[Full Date],TblRecords[Start Time])=TIME(0,0,0),"OFF",_xlfn.XLOOKUP(B9,TblRecords[Full Date],TblRecords[Start Time])))</f>
        <v/>
      </c>
      <c r="E9" s="24" t="str">
        <f>IF(ISBLANK(B9),"",IF(_xlfn.XLOOKUP(B9,TblRecords[Full Date],TblRecords[End Time])=TIME(0,0,0),"OFF",_xlfn.XLOOKUP(B9,TblRecords[Full Date],TblRecords[End Time])))</f>
        <v/>
      </c>
      <c r="F9" s="39" t="str">
        <f>_xlfn.XLOOKUP(B9,TblRecords[Full Date],TblRecords[Notes],"")</f>
        <v>OFF</v>
      </c>
      <c r="G9" s="39"/>
    </row>
    <row r="10" spans="1:16" x14ac:dyDescent="0.3">
      <c r="A10" s="22"/>
      <c r="B10" s="23"/>
      <c r="C10" s="22" t="str">
        <f t="shared" si="0"/>
        <v/>
      </c>
      <c r="D10" s="24" t="str">
        <f>IF(ISBLANK(B10),"",IF(_xlfn.XLOOKUP(B10,TblRecords[Full Date],TblRecords[Start Time])=TIME(0,0,0),"OFF",_xlfn.XLOOKUP(B10,TblRecords[Full Date],TblRecords[Start Time])))</f>
        <v/>
      </c>
      <c r="E10" s="24" t="str">
        <f>IF(ISBLANK(B10),"",IF(_xlfn.XLOOKUP(B10,TblRecords[Full Date],TblRecords[End Time])=TIME(0,0,0),"OFF",_xlfn.XLOOKUP(B10,TblRecords[Full Date],TblRecords[End Time])))</f>
        <v/>
      </c>
      <c r="F10" s="39" t="str">
        <f>_xlfn.XLOOKUP(B10,TblRecords[Full Date],TblRecords[Notes],"")</f>
        <v>OFF</v>
      </c>
      <c r="G10" s="39"/>
    </row>
    <row r="11" spans="1:16" x14ac:dyDescent="0.3">
      <c r="A11" s="22"/>
      <c r="B11" s="23"/>
      <c r="C11" s="22" t="str">
        <f t="shared" si="0"/>
        <v/>
      </c>
      <c r="D11" s="24" t="str">
        <f>IF(ISBLANK(B11),"",IF(_xlfn.XLOOKUP(B11,TblRecords[Full Date],TblRecords[Start Time])=TIME(0,0,0),"OFF",_xlfn.XLOOKUP(B11,TblRecords[Full Date],TblRecords[Start Time])))</f>
        <v/>
      </c>
      <c r="E11" s="24" t="str">
        <f>IF(ISBLANK(B11),"",IF(_xlfn.XLOOKUP(B11,TblRecords[Full Date],TblRecords[End Time])=TIME(0,0,0),"OFF",_xlfn.XLOOKUP(B11,TblRecords[Full Date],TblRecords[End Time])))</f>
        <v/>
      </c>
      <c r="F11" s="39" t="str">
        <f>_xlfn.XLOOKUP(B11,TblRecords[Full Date],TblRecords[Notes],"")</f>
        <v>OFF</v>
      </c>
      <c r="G11" s="39"/>
    </row>
    <row r="12" spans="1:16" x14ac:dyDescent="0.3">
      <c r="A12" s="22"/>
      <c r="B12" s="23"/>
      <c r="C12" s="22" t="str">
        <f t="shared" si="0"/>
        <v/>
      </c>
      <c r="D12" s="24" t="str">
        <f>IF(ISBLANK(B12),"",IF(_xlfn.XLOOKUP(B12,TblRecords[Full Date],TblRecords[Start Time])=TIME(0,0,0),"OFF",_xlfn.XLOOKUP(B12,TblRecords[Full Date],TblRecords[Start Time])))</f>
        <v/>
      </c>
      <c r="E12" s="24" t="str">
        <f>IF(ISBLANK(B12),"",IF(_xlfn.XLOOKUP(B12,TblRecords[Full Date],TblRecords[End Time])=TIME(0,0,0),"OFF",_xlfn.XLOOKUP(B12,TblRecords[Full Date],TblRecords[End Time])))</f>
        <v/>
      </c>
      <c r="F12" s="39" t="str">
        <f>_xlfn.XLOOKUP(B12,TblRecords[Full Date],TblRecords[Notes],"")</f>
        <v>OFF</v>
      </c>
      <c r="G12" s="39"/>
      <c r="P12" s="15"/>
    </row>
    <row r="13" spans="1:16" x14ac:dyDescent="0.3">
      <c r="A13" s="22"/>
      <c r="B13" s="23"/>
      <c r="C13" s="22" t="str">
        <f t="shared" si="0"/>
        <v/>
      </c>
      <c r="D13" s="24" t="str">
        <f>IF(ISBLANK(B13),"",IF(_xlfn.XLOOKUP(B13,TblRecords[Full Date],TblRecords[Start Time])=TIME(0,0,0),"OFF",_xlfn.XLOOKUP(B13,TblRecords[Full Date],TblRecords[Start Time])))</f>
        <v/>
      </c>
      <c r="E13" s="24" t="str">
        <f>IF(ISBLANK(B13),"",IF(_xlfn.XLOOKUP(B13,TblRecords[Full Date],TblRecords[End Time])=TIME(0,0,0),"OFF",_xlfn.XLOOKUP(B13,TblRecords[Full Date],TblRecords[End Time])))</f>
        <v/>
      </c>
      <c r="F13" s="39" t="str">
        <f>_xlfn.XLOOKUP(B13,TblRecords[Full Date],TblRecords[Notes],"")</f>
        <v>OFF</v>
      </c>
      <c r="G13" s="39"/>
    </row>
    <row r="14" spans="1:16" x14ac:dyDescent="0.3">
      <c r="A14" s="22"/>
      <c r="B14" s="23"/>
      <c r="C14" s="22" t="str">
        <f t="shared" si="0"/>
        <v/>
      </c>
      <c r="D14" s="24" t="str">
        <f>IF(ISBLANK(B14),"",IF(_xlfn.XLOOKUP(B14,TblRecords[Full Date],TblRecords[Start Time])=TIME(0,0,0),"OFF",_xlfn.XLOOKUP(B14,TblRecords[Full Date],TblRecords[Start Time])))</f>
        <v/>
      </c>
      <c r="E14" s="24" t="str">
        <f>IF(ISBLANK(B14),"",IF(_xlfn.XLOOKUP(B14,TblRecords[Full Date],TblRecords[End Time])=TIME(0,0,0),"OFF",_xlfn.XLOOKUP(B14,TblRecords[Full Date],TblRecords[End Time])))</f>
        <v/>
      </c>
      <c r="F14" s="39" t="str">
        <f>_xlfn.XLOOKUP(B14,TblRecords[Full Date],TblRecords[Notes],"")</f>
        <v>OFF</v>
      </c>
      <c r="G14" s="39"/>
    </row>
    <row r="15" spans="1:16" x14ac:dyDescent="0.3">
      <c r="A15" s="22"/>
      <c r="B15" s="23"/>
      <c r="C15" s="22" t="str">
        <f t="shared" si="0"/>
        <v/>
      </c>
      <c r="D15" s="24" t="str">
        <f>IF(ISBLANK(B15),"",IF(_xlfn.XLOOKUP(B15,TblRecords[Full Date],TblRecords[Start Time])=TIME(0,0,0),"OFF",_xlfn.XLOOKUP(B15,TblRecords[Full Date],TblRecords[Start Time])))</f>
        <v/>
      </c>
      <c r="E15" s="24" t="str">
        <f>IF(ISBLANK(B15),"",IF(_xlfn.XLOOKUP(B15,TblRecords[Full Date],TblRecords[End Time])=TIME(0,0,0),"OFF",_xlfn.XLOOKUP(B15,TblRecords[Full Date],TblRecords[End Time])))</f>
        <v/>
      </c>
      <c r="F15" s="39" t="str">
        <f>_xlfn.XLOOKUP(B15,TblRecords[Full Date],TblRecords[Notes],"")</f>
        <v>OFF</v>
      </c>
      <c r="G15" s="39"/>
    </row>
    <row r="16" spans="1:16" x14ac:dyDescent="0.3">
      <c r="A16" s="22"/>
      <c r="B16" s="23"/>
      <c r="C16" s="22" t="str">
        <f t="shared" si="0"/>
        <v/>
      </c>
      <c r="D16" s="24" t="str">
        <f>IF(ISBLANK(B16),"",IF(_xlfn.XLOOKUP(B16,TblRecords[Full Date],TblRecords[Start Time])=TIME(0,0,0),"OFF",_xlfn.XLOOKUP(B16,TblRecords[Full Date],TblRecords[Start Time])))</f>
        <v/>
      </c>
      <c r="E16" s="24" t="str">
        <f>IF(ISBLANK(B16),"",IF(_xlfn.XLOOKUP(B16,TblRecords[Full Date],TblRecords[End Time])=TIME(0,0,0),"OFF",_xlfn.XLOOKUP(B16,TblRecords[Full Date],TblRecords[End Time])))</f>
        <v/>
      </c>
      <c r="F16" s="39" t="str">
        <f>_xlfn.XLOOKUP(B16,TblRecords[Full Date],TblRecords[Notes],"")</f>
        <v>OFF</v>
      </c>
      <c r="G16" s="39"/>
    </row>
    <row r="17" spans="1:7" x14ac:dyDescent="0.3">
      <c r="A17" s="22"/>
      <c r="B17" s="23"/>
      <c r="C17" s="22" t="str">
        <f t="shared" si="0"/>
        <v/>
      </c>
      <c r="D17" s="24" t="str">
        <f>IF(ISBLANK(B17),"",IF(_xlfn.XLOOKUP(B17,TblRecords[Full Date],TblRecords[Start Time])=TIME(0,0,0),"OFF",_xlfn.XLOOKUP(B17,TblRecords[Full Date],TblRecords[Start Time])))</f>
        <v/>
      </c>
      <c r="E17" s="24" t="str">
        <f>IF(ISBLANK(B17),"",IF(_xlfn.XLOOKUP(B17,TblRecords[Full Date],TblRecords[End Time])=TIME(0,0,0),"OFF",_xlfn.XLOOKUP(B17,TblRecords[Full Date],TblRecords[End Time])))</f>
        <v/>
      </c>
      <c r="F17" s="39" t="str">
        <f>_xlfn.XLOOKUP(B17,TblRecords[Full Date],TblRecords[Notes],"")</f>
        <v>OFF</v>
      </c>
      <c r="G17" s="39"/>
    </row>
    <row r="18" spans="1:7" x14ac:dyDescent="0.3">
      <c r="A18" s="22"/>
      <c r="B18" s="23"/>
      <c r="C18" s="22" t="str">
        <f t="shared" si="0"/>
        <v/>
      </c>
      <c r="D18" s="24" t="str">
        <f>IF(ISBLANK(B18),"",IF(_xlfn.XLOOKUP(B18,TblRecords[Full Date],TblRecords[Start Time])=TIME(0,0,0),"OFF",_xlfn.XLOOKUP(B18,TblRecords[Full Date],TblRecords[Start Time])))</f>
        <v/>
      </c>
      <c r="E18" s="24" t="str">
        <f>IF(ISBLANK(B18),"",IF(_xlfn.XLOOKUP(B18,TblRecords[Full Date],TblRecords[End Time])=TIME(0,0,0),"OFF",_xlfn.XLOOKUP(B18,TblRecords[Full Date],TblRecords[End Time])))</f>
        <v/>
      </c>
      <c r="F18" s="39" t="str">
        <f>_xlfn.XLOOKUP(B18,TblRecords[Full Date],TblRecords[Notes],"")</f>
        <v>OFF</v>
      </c>
      <c r="G18" s="39"/>
    </row>
    <row r="19" spans="1:7" x14ac:dyDescent="0.3">
      <c r="A19" s="22"/>
      <c r="B19" s="23"/>
      <c r="C19" s="22" t="str">
        <f t="shared" si="0"/>
        <v/>
      </c>
      <c r="D19" s="24" t="str">
        <f>IF(ISBLANK(B19),"",IF(_xlfn.XLOOKUP(B19,TblRecords[Full Date],TblRecords[Start Time])=TIME(0,0,0),"OFF",_xlfn.XLOOKUP(B19,TblRecords[Full Date],TblRecords[Start Time])))</f>
        <v/>
      </c>
      <c r="E19" s="24" t="str">
        <f>IF(ISBLANK(B19),"",IF(_xlfn.XLOOKUP(B19,TblRecords[Full Date],TblRecords[End Time])=TIME(0,0,0),"OFF",_xlfn.XLOOKUP(B19,TblRecords[Full Date],TblRecords[End Time])))</f>
        <v/>
      </c>
      <c r="F19" s="39" t="str">
        <f>_xlfn.XLOOKUP(B19,TblRecords[Full Date],TblRecords[Notes],"")</f>
        <v>OFF</v>
      </c>
      <c r="G19" s="39"/>
    </row>
    <row r="20" spans="1:7" x14ac:dyDescent="0.3">
      <c r="A20" s="22"/>
      <c r="B20" s="23"/>
      <c r="C20" s="22" t="str">
        <f t="shared" si="0"/>
        <v/>
      </c>
      <c r="D20" s="24" t="str">
        <f>IF(ISBLANK(B20),"",IF(_xlfn.XLOOKUP(B20,TblRecords[Full Date],TblRecords[Start Time])=TIME(0,0,0),"OFF",_xlfn.XLOOKUP(B20,TblRecords[Full Date],TblRecords[Start Time])))</f>
        <v/>
      </c>
      <c r="E20" s="24" t="str">
        <f>IF(ISBLANK(B20),"",IF(_xlfn.XLOOKUP(B20,TblRecords[Full Date],TblRecords[End Time])=TIME(0,0,0),"OFF",_xlfn.XLOOKUP(B20,TblRecords[Full Date],TblRecords[End Time])))</f>
        <v/>
      </c>
      <c r="F20" s="39" t="str">
        <f>_xlfn.XLOOKUP(B20,TblRecords[Full Date],TblRecords[Notes],"")</f>
        <v>OFF</v>
      </c>
      <c r="G20" s="39"/>
    </row>
    <row r="21" spans="1:7" x14ac:dyDescent="0.3">
      <c r="A21" s="22"/>
      <c r="B21" s="23"/>
      <c r="C21" s="22" t="str">
        <f t="shared" si="0"/>
        <v/>
      </c>
      <c r="D21" s="24" t="str">
        <f>IF(ISBLANK(B21),"",IF(_xlfn.XLOOKUP(B21,TblRecords[Full Date],TblRecords[Start Time])=TIME(0,0,0),"OFF",_xlfn.XLOOKUP(B21,TblRecords[Full Date],TblRecords[Start Time])))</f>
        <v/>
      </c>
      <c r="E21" s="24" t="str">
        <f>IF(ISBLANK(B21),"",IF(_xlfn.XLOOKUP(B21,TblRecords[Full Date],TblRecords[End Time])=TIME(0,0,0),"OFF",_xlfn.XLOOKUP(B21,TblRecords[Full Date],TblRecords[End Time])))</f>
        <v/>
      </c>
      <c r="F21" s="39" t="str">
        <f>_xlfn.XLOOKUP(B21,TblRecords[Full Date],TblRecords[Notes],"")</f>
        <v>OFF</v>
      </c>
      <c r="G21" s="39"/>
    </row>
    <row r="22" spans="1:7" x14ac:dyDescent="0.3">
      <c r="A22" s="22"/>
      <c r="B22" s="23"/>
      <c r="C22" s="22" t="str">
        <f t="shared" si="0"/>
        <v/>
      </c>
      <c r="D22" s="24" t="str">
        <f>IF(ISBLANK(B22),"",IF(_xlfn.XLOOKUP(B22,TblRecords[Full Date],TblRecords[Start Time])=TIME(0,0,0),"OFF",_xlfn.XLOOKUP(B22,TblRecords[Full Date],TblRecords[Start Time])))</f>
        <v/>
      </c>
      <c r="E22" s="24" t="str">
        <f>IF(ISBLANK(B22),"",IF(_xlfn.XLOOKUP(B22,TblRecords[Full Date],TblRecords[End Time])=TIME(0,0,0),"OFF",_xlfn.XLOOKUP(B22,TblRecords[Full Date],TblRecords[End Time])))</f>
        <v/>
      </c>
      <c r="F22" s="39" t="str">
        <f>_xlfn.XLOOKUP(B22,TblRecords[Full Date],TblRecords[Notes],"")</f>
        <v>OFF</v>
      </c>
      <c r="G22" s="39"/>
    </row>
    <row r="23" spans="1:7" x14ac:dyDescent="0.3">
      <c r="A23" s="22"/>
      <c r="B23" s="23"/>
      <c r="C23" s="22" t="str">
        <f t="shared" si="0"/>
        <v/>
      </c>
      <c r="D23" s="24" t="str">
        <f>IF(ISBLANK(B23),"",IF(_xlfn.XLOOKUP(B23,TblRecords[Full Date],TblRecords[Start Time])=TIME(0,0,0),"OFF",_xlfn.XLOOKUP(B23,TblRecords[Full Date],TblRecords[Start Time])))</f>
        <v/>
      </c>
      <c r="E23" s="24" t="str">
        <f>IF(ISBLANK(B23),"",IF(_xlfn.XLOOKUP(B23,TblRecords[Full Date],TblRecords[End Time])=TIME(0,0,0),"OFF",_xlfn.XLOOKUP(B23,TblRecords[Full Date],TblRecords[End Time])))</f>
        <v/>
      </c>
      <c r="F23" s="39" t="str">
        <f>_xlfn.XLOOKUP(B23,TblRecords[Full Date],TblRecords[Notes],"")</f>
        <v>OFF</v>
      </c>
      <c r="G23" s="39"/>
    </row>
    <row r="24" spans="1:7" x14ac:dyDescent="0.3">
      <c r="A24" s="22"/>
      <c r="B24" s="23"/>
      <c r="C24" s="22" t="str">
        <f t="shared" si="0"/>
        <v/>
      </c>
      <c r="D24" s="24" t="str">
        <f>IF(ISBLANK(B24),"",IF(_xlfn.XLOOKUP(B24,TblRecords[Full Date],TblRecords[Start Time])=TIME(0,0,0),"OFF",_xlfn.XLOOKUP(B24,TblRecords[Full Date],TblRecords[Start Time])))</f>
        <v/>
      </c>
      <c r="E24" s="24" t="str">
        <f>IF(ISBLANK(B24),"",IF(_xlfn.XLOOKUP(B24,TblRecords[Full Date],TblRecords[End Time])=TIME(0,0,0),"OFF",_xlfn.XLOOKUP(B24,TblRecords[Full Date],TblRecords[End Time])))</f>
        <v/>
      </c>
      <c r="F24" s="39" t="str">
        <f>_xlfn.XLOOKUP(B24,TblRecords[Full Date],TblRecords[Notes],"")</f>
        <v>OFF</v>
      </c>
      <c r="G24" s="39"/>
    </row>
    <row r="25" spans="1:7" x14ac:dyDescent="0.3">
      <c r="A25" s="22"/>
      <c r="B25" s="23"/>
      <c r="C25" s="22" t="str">
        <f t="shared" si="0"/>
        <v/>
      </c>
      <c r="D25" s="24" t="str">
        <f>IF(ISBLANK(B25),"",IF(_xlfn.XLOOKUP(B25,TblRecords[Full Date],TblRecords[Start Time])=TIME(0,0,0),"OFF",_xlfn.XLOOKUP(B25,TblRecords[Full Date],TblRecords[Start Time])))</f>
        <v/>
      </c>
      <c r="E25" s="24" t="str">
        <f>IF(ISBLANK(B25),"",IF(_xlfn.XLOOKUP(B25,TblRecords[Full Date],TblRecords[End Time])=TIME(0,0,0),"OFF",_xlfn.XLOOKUP(B25,TblRecords[Full Date],TblRecords[End Time])))</f>
        <v/>
      </c>
      <c r="F25" s="39" t="str">
        <f>_xlfn.XLOOKUP(B25,TblRecords[Full Date],TblRecords[Notes],"")</f>
        <v>OFF</v>
      </c>
      <c r="G25" s="39"/>
    </row>
    <row r="26" spans="1:7" x14ac:dyDescent="0.3">
      <c r="A26" s="22"/>
      <c r="B26" s="23"/>
      <c r="C26" s="22" t="str">
        <f t="shared" si="0"/>
        <v/>
      </c>
      <c r="D26" s="24" t="str">
        <f>IF(ISBLANK(B26),"",IF(_xlfn.XLOOKUP(B26,TblRecords[Full Date],TblRecords[Start Time])=TIME(0,0,0),"OFF",_xlfn.XLOOKUP(B26,TblRecords[Full Date],TblRecords[Start Time])))</f>
        <v/>
      </c>
      <c r="E26" s="24" t="str">
        <f>IF(ISBLANK(B26),"",IF(_xlfn.XLOOKUP(B26,TblRecords[Full Date],TblRecords[End Time])=TIME(0,0,0),"OFF",_xlfn.XLOOKUP(B26,TblRecords[Full Date],TblRecords[End Time])))</f>
        <v/>
      </c>
      <c r="F26" s="39" t="str">
        <f>_xlfn.XLOOKUP(B26,TblRecords[Full Date],TblRecords[Notes],"")</f>
        <v>OFF</v>
      </c>
      <c r="G26" s="39"/>
    </row>
    <row r="27" spans="1:7" x14ac:dyDescent="0.3">
      <c r="A27" s="22"/>
      <c r="B27" s="23"/>
      <c r="C27" s="22" t="str">
        <f t="shared" si="0"/>
        <v/>
      </c>
      <c r="D27" s="24" t="str">
        <f>IF(ISBLANK(B27),"",IF(_xlfn.XLOOKUP(B27,TblRecords[Full Date],TblRecords[Start Time])=TIME(0,0,0),"OFF",_xlfn.XLOOKUP(B27,TblRecords[Full Date],TblRecords[Start Time])))</f>
        <v/>
      </c>
      <c r="E27" s="24" t="str">
        <f>IF(ISBLANK(B27),"",IF(_xlfn.XLOOKUP(B27,TblRecords[Full Date],TblRecords[End Time])=TIME(0,0,0),"OFF",_xlfn.XLOOKUP(B27,TblRecords[Full Date],TblRecords[End Time])))</f>
        <v/>
      </c>
      <c r="F27" s="39" t="str">
        <f>_xlfn.XLOOKUP(B27,TblRecords[Full Date],TblRecords[Notes],"")</f>
        <v>OFF</v>
      </c>
      <c r="G27" s="39"/>
    </row>
    <row r="28" spans="1:7" x14ac:dyDescent="0.3">
      <c r="A28" s="22"/>
      <c r="B28" s="23"/>
      <c r="C28" s="22" t="str">
        <f t="shared" si="0"/>
        <v/>
      </c>
      <c r="D28" s="24" t="str">
        <f>IF(ISBLANK(B28),"",IF(_xlfn.XLOOKUP(B28,TblRecords[Full Date],TblRecords[Start Time])=TIME(0,0,0),"OFF",_xlfn.XLOOKUP(B28,TblRecords[Full Date],TblRecords[Start Time])))</f>
        <v/>
      </c>
      <c r="E28" s="24" t="str">
        <f>IF(ISBLANK(B28),"",IF(_xlfn.XLOOKUP(B28,TblRecords[Full Date],TblRecords[End Time])=TIME(0,0,0),"OFF",_xlfn.XLOOKUP(B28,TblRecords[Full Date],TblRecords[End Time])))</f>
        <v/>
      </c>
      <c r="F28" s="39" t="str">
        <f>_xlfn.XLOOKUP(B28,TblRecords[Full Date],TblRecords[Notes],"")</f>
        <v>OFF</v>
      </c>
      <c r="G28" s="39"/>
    </row>
    <row r="29" spans="1:7" x14ac:dyDescent="0.3">
      <c r="A29" s="22"/>
      <c r="B29" s="23"/>
      <c r="C29" s="22" t="str">
        <f t="shared" si="0"/>
        <v/>
      </c>
      <c r="D29" s="24" t="str">
        <f>IF(ISBLANK(B29),"",IF(_xlfn.XLOOKUP(B29,TblRecords[Full Date],TblRecords[Start Time])=TIME(0,0,0),"OFF",_xlfn.XLOOKUP(B29,TblRecords[Full Date],TblRecords[Start Time])))</f>
        <v/>
      </c>
      <c r="E29" s="24" t="str">
        <f>IF(ISBLANK(B29),"",IF(_xlfn.XLOOKUP(B29,TblRecords[Full Date],TblRecords[End Time])=TIME(0,0,0),"OFF",_xlfn.XLOOKUP(B29,TblRecords[Full Date],TblRecords[End Time])))</f>
        <v/>
      </c>
      <c r="F29" s="39" t="str">
        <f>_xlfn.XLOOKUP(B29,TblRecords[Full Date],TblRecords[Notes],"")</f>
        <v>OFF</v>
      </c>
      <c r="G29" s="39"/>
    </row>
    <row r="30" spans="1:7" x14ac:dyDescent="0.3">
      <c r="A30" s="22"/>
      <c r="B30" s="23"/>
      <c r="C30" s="22" t="str">
        <f t="shared" si="0"/>
        <v/>
      </c>
      <c r="D30" s="24" t="str">
        <f>IF(ISBLANK(B30),"",IF(_xlfn.XLOOKUP(B30,TblRecords[Full Date],TblRecords[Start Time])=TIME(0,0,0),"OFF",_xlfn.XLOOKUP(B30,TblRecords[Full Date],TblRecords[Start Time])))</f>
        <v/>
      </c>
      <c r="E30" s="24" t="str">
        <f>IF(ISBLANK(B30),"",IF(_xlfn.XLOOKUP(B30,TblRecords[Full Date],TblRecords[End Time])=TIME(0,0,0),"OFF",_xlfn.XLOOKUP(B30,TblRecords[Full Date],TblRecords[End Time])))</f>
        <v/>
      </c>
      <c r="F30" s="39" t="str">
        <f>_xlfn.XLOOKUP(B30,TblRecords[Full Date],TblRecords[Notes],"")</f>
        <v>OFF</v>
      </c>
      <c r="G30" s="39"/>
    </row>
    <row r="31" spans="1:7" x14ac:dyDescent="0.3">
      <c r="A31" s="22"/>
      <c r="B31" s="23"/>
      <c r="C31" s="22" t="str">
        <f t="shared" si="0"/>
        <v/>
      </c>
      <c r="D31" s="24" t="str">
        <f>IF(ISBLANK(B31),"",IF(_xlfn.XLOOKUP(B31,TblRecords[Full Date],TblRecords[Start Time])=TIME(0,0,0),"OFF",_xlfn.XLOOKUP(B31,TblRecords[Full Date],TblRecords[Start Time])))</f>
        <v/>
      </c>
      <c r="E31" s="24" t="str">
        <f>IF(ISBLANK(B31),"",IF(_xlfn.XLOOKUP(B31,TblRecords[Full Date],TblRecords[End Time])=TIME(0,0,0),"OFF",_xlfn.XLOOKUP(B31,TblRecords[Full Date],TblRecords[End Time])))</f>
        <v/>
      </c>
      <c r="F31" s="39" t="str">
        <f>_xlfn.XLOOKUP(B31,TblRecords[Full Date],TblRecords[Notes],"")</f>
        <v>OFF</v>
      </c>
      <c r="G31" s="39"/>
    </row>
    <row r="32" spans="1:7" x14ac:dyDescent="0.3">
      <c r="A32" s="22"/>
      <c r="B32" s="23"/>
      <c r="C32" s="22" t="str">
        <f t="shared" si="0"/>
        <v/>
      </c>
      <c r="D32" s="24" t="str">
        <f>IF(ISBLANK(B32),"",IF(_xlfn.XLOOKUP(B32,TblRecords[Full Date],TblRecords[Start Time])=TIME(0,0,0),"OFF",_xlfn.XLOOKUP(B32,TblRecords[Full Date],TblRecords[Start Time])))</f>
        <v/>
      </c>
      <c r="E32" s="24" t="str">
        <f>IF(ISBLANK(B32),"",IF(_xlfn.XLOOKUP(B32,TblRecords[Full Date],TblRecords[End Time])=TIME(0,0,0),"OFF",_xlfn.XLOOKUP(B32,TblRecords[Full Date],TblRecords[End Time])))</f>
        <v/>
      </c>
      <c r="F32" s="39" t="str">
        <f>_xlfn.XLOOKUP(B32,TblRecords[Full Date],TblRecords[Notes],"")</f>
        <v>OFF</v>
      </c>
      <c r="G32" s="39"/>
    </row>
    <row r="33" spans="1:15" x14ac:dyDescent="0.3">
      <c r="A33" s="22"/>
      <c r="B33" s="23"/>
      <c r="C33" s="22" t="str">
        <f t="shared" si="0"/>
        <v/>
      </c>
      <c r="D33" s="24" t="str">
        <f>IF(ISBLANK(B33),"",IF(_xlfn.XLOOKUP(B33,TblRecords[Full Date],TblRecords[Start Time])=TIME(0,0,0),"OFF",_xlfn.XLOOKUP(B33,TblRecords[Full Date],TblRecords[Start Time])))</f>
        <v/>
      </c>
      <c r="E33" s="24" t="str">
        <f>IF(ISBLANK(B33),"",IF(_xlfn.XLOOKUP(B33,TblRecords[Full Date],TblRecords[End Time])=TIME(0,0,0),"OFF",_xlfn.XLOOKUP(B33,TblRecords[Full Date],TblRecords[End Time])))</f>
        <v/>
      </c>
      <c r="F33" s="39" t="str">
        <f>_xlfn.XLOOKUP(B33,TblRecords[Full Date],TblRecords[Notes],"")</f>
        <v>OFF</v>
      </c>
      <c r="G33" s="39"/>
    </row>
    <row r="34" spans="1:15" x14ac:dyDescent="0.3">
      <c r="A34" s="22"/>
      <c r="B34" s="23"/>
      <c r="C34" s="22" t="str">
        <f t="shared" si="0"/>
        <v/>
      </c>
      <c r="D34" s="24" t="str">
        <f>IF(ISBLANK(B34),"",IF(_xlfn.XLOOKUP(B34,TblRecords[Full Date],TblRecords[Start Time])=TIME(0,0,0),"OFF",_xlfn.XLOOKUP(B34,TblRecords[Full Date],TblRecords[Start Time])))</f>
        <v/>
      </c>
      <c r="E34" s="24" t="str">
        <f>IF(ISBLANK(B34),"",IF(_xlfn.XLOOKUP(B34,TblRecords[Full Date],TblRecords[End Time])=TIME(0,0,0),"OFF",_xlfn.XLOOKUP(B34,TblRecords[Full Date],TblRecords[End Time])))</f>
        <v/>
      </c>
      <c r="F34" s="39" t="str">
        <f>_xlfn.XLOOKUP(B34,TblRecords[Full Date],TblRecords[Notes],"")</f>
        <v>OFF</v>
      </c>
      <c r="G34" s="39"/>
    </row>
    <row r="35" spans="1:15" x14ac:dyDescent="0.3">
      <c r="A35" s="22"/>
      <c r="B35" s="23"/>
      <c r="C35" s="22" t="str">
        <f t="shared" si="0"/>
        <v/>
      </c>
      <c r="D35" s="24" t="str">
        <f>IF(ISBLANK(B35),"",IF(_xlfn.XLOOKUP(B35,TblRecords[Full Date],TblRecords[Start Time])=TIME(0,0,0),"OFF",_xlfn.XLOOKUP(B35,TblRecords[Full Date],TblRecords[Start Time])))</f>
        <v/>
      </c>
      <c r="E35" s="24" t="str">
        <f>IF(ISBLANK(B35),"",IF(_xlfn.XLOOKUP(B35,TblRecords[Full Date],TblRecords[End Time])=TIME(0,0,0),"OFF",_xlfn.XLOOKUP(B35,TblRecords[Full Date],TblRecords[End Time])))</f>
        <v/>
      </c>
      <c r="F35" s="39" t="str">
        <f>_xlfn.XLOOKUP(B35,TblRecords[Full Date],TblRecords[Notes],"")</f>
        <v>OFF</v>
      </c>
      <c r="G35" s="39"/>
    </row>
    <row r="36" spans="1:15" x14ac:dyDescent="0.3">
      <c r="A36" s="22"/>
      <c r="B36" s="23"/>
      <c r="C36" s="22" t="str">
        <f t="shared" si="0"/>
        <v/>
      </c>
      <c r="D36" s="24" t="str">
        <f>IF(ISBLANK(B36),"",IF(_xlfn.XLOOKUP(B36,TblRecords[Full Date],TblRecords[Start Time])=TIME(0,0,0),"OFF",_xlfn.XLOOKUP(B36,TblRecords[Full Date],TblRecords[Start Time])))</f>
        <v/>
      </c>
      <c r="E36" s="24" t="str">
        <f>IF(ISBLANK(B36),"",IF(_xlfn.XLOOKUP(B36,TblRecords[Full Date],TblRecords[End Time])=TIME(0,0,0),"OFF",_xlfn.XLOOKUP(B36,TblRecords[Full Date],TblRecords[End Time])))</f>
        <v/>
      </c>
      <c r="F36" s="39" t="str">
        <f>_xlfn.XLOOKUP(B36,TblRecords[Full Date],TblRecords[Notes],"")</f>
        <v>OFF</v>
      </c>
      <c r="G36" s="39"/>
    </row>
    <row r="37" spans="1:15" x14ac:dyDescent="0.3">
      <c r="A37" s="22"/>
      <c r="B37" s="23"/>
      <c r="C37" s="22" t="str">
        <f t="shared" si="0"/>
        <v/>
      </c>
      <c r="D37" s="24" t="str">
        <f>IF(ISBLANK(B37),"",IF(_xlfn.XLOOKUP(B37,TblRecords[Full Date],TblRecords[Start Time])=TIME(0,0,0),"OFF",_xlfn.XLOOKUP(B37,TblRecords[Full Date],TblRecords[Start Time])))</f>
        <v/>
      </c>
      <c r="E37" s="24" t="str">
        <f>IF(ISBLANK(B37),"",IF(_xlfn.XLOOKUP(B37,TblRecords[Full Date],TblRecords[End Time])=TIME(0,0,0),"OFF",_xlfn.XLOOKUP(B37,TblRecords[Full Date],TblRecords[End Time])))</f>
        <v/>
      </c>
      <c r="F37" s="39" t="str">
        <f>_xlfn.XLOOKUP(B37,TblRecords[Full Date],TblRecords[Notes],"")</f>
        <v>OFF</v>
      </c>
      <c r="G37" s="39"/>
    </row>
    <row r="38" spans="1:15" x14ac:dyDescent="0.3">
      <c r="A38" s="22"/>
      <c r="B38" s="23"/>
      <c r="C38" s="22" t="str">
        <f t="shared" si="0"/>
        <v/>
      </c>
      <c r="D38" s="24" t="str">
        <f>IF(ISBLANK(B38),"",IF(_xlfn.XLOOKUP(B38,TblRecords[Full Date],TblRecords[Start Time])=TIME(0,0,0),"OFF",_xlfn.XLOOKUP(B38,TblRecords[Full Date],TblRecords[Start Time])))</f>
        <v/>
      </c>
      <c r="E38" s="24" t="str">
        <f>IF(ISBLANK(B38),"",IF(_xlfn.XLOOKUP(B38,TblRecords[Full Date],TblRecords[End Time])=TIME(0,0,0),"OFF",_xlfn.XLOOKUP(B38,TblRecords[Full Date],TblRecords[End Time])))</f>
        <v/>
      </c>
      <c r="F38" s="39" t="str">
        <f>_xlfn.XLOOKUP(B38,TblRecords[Full Date],TblRecords[Notes],"")</f>
        <v>OFF</v>
      </c>
      <c r="G38" s="39"/>
    </row>
    <row r="39" spans="1:15" x14ac:dyDescent="0.3">
      <c r="D39" s="35" t="s">
        <v>45</v>
      </c>
      <c r="E39" s="36"/>
      <c r="F39" s="25" t="s">
        <v>42</v>
      </c>
      <c r="G39" s="25" t="str">
        <f>COUNTIF(D7:D36,"&gt;0")&amp;" Hari"</f>
        <v>0 Hari</v>
      </c>
    </row>
    <row r="40" spans="1:15" x14ac:dyDescent="0.3">
      <c r="D40" s="37"/>
      <c r="E40" s="38"/>
      <c r="F40" s="25" t="s">
        <v>46</v>
      </c>
      <c r="G40" s="25" t="str">
        <f>COUNTIF(F7:G38,"Sakit") + COUNTIF(F7:G38,"Izin")&amp;" Hari"</f>
        <v>0 Hari</v>
      </c>
    </row>
    <row r="41" spans="1:15" x14ac:dyDescent="0.3">
      <c r="F41" s="28"/>
      <c r="G41" s="28"/>
    </row>
    <row r="48" spans="1:15" x14ac:dyDescent="0.3">
      <c r="O48" s="26"/>
    </row>
    <row r="49" spans="15:15" x14ac:dyDescent="0.3">
      <c r="O49" s="26"/>
    </row>
  </sheetData>
  <mergeCells count="40">
    <mergeCell ref="A3:B3"/>
    <mergeCell ref="F5:G6"/>
    <mergeCell ref="F19:G19"/>
    <mergeCell ref="F18:G18"/>
    <mergeCell ref="D5:E5"/>
    <mergeCell ref="A5:A6"/>
    <mergeCell ref="B5:B6"/>
    <mergeCell ref="C5:C6"/>
    <mergeCell ref="F34:G34"/>
    <mergeCell ref="F33:G33"/>
    <mergeCell ref="F7:G7"/>
    <mergeCell ref="F8:G8"/>
    <mergeCell ref="F9:G9"/>
    <mergeCell ref="F32:G32"/>
    <mergeCell ref="F31:G31"/>
    <mergeCell ref="F30:G30"/>
    <mergeCell ref="F11:G11"/>
    <mergeCell ref="F12:G12"/>
    <mergeCell ref="F13:G13"/>
    <mergeCell ref="F14:G14"/>
    <mergeCell ref="F15:G15"/>
    <mergeCell ref="F22:G22"/>
    <mergeCell ref="F21:G21"/>
    <mergeCell ref="F20:G20"/>
    <mergeCell ref="A1:I2"/>
    <mergeCell ref="D39:E40"/>
    <mergeCell ref="F38:G38"/>
    <mergeCell ref="F23:G23"/>
    <mergeCell ref="F24:G24"/>
    <mergeCell ref="F17:G17"/>
    <mergeCell ref="F16:G16"/>
    <mergeCell ref="F10:G10"/>
    <mergeCell ref="F29:G29"/>
    <mergeCell ref="F28:G28"/>
    <mergeCell ref="F27:G27"/>
    <mergeCell ref="F26:G26"/>
    <mergeCell ref="F25:G25"/>
    <mergeCell ref="F37:G37"/>
    <mergeCell ref="F36:G36"/>
    <mergeCell ref="F35:G35"/>
  </mergeCells>
  <printOptions horizontalCentered="1" verticalCentered="1"/>
  <pageMargins left="0.70866141732283461" right="0.70866141732283461" top="0.74803149606299213" bottom="0.74803149606299213" header="0.31496062992125984" footer="0.31496062992125984"/>
  <pageSetup paperSize="9" scale="9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FEFC1C-B22A-49DA-860F-4CD4BC52C165}">
  <ds:schemaRefs>
    <ds:schemaRef ds:uri="http://schemas.microsoft.com/DataMashup"/>
  </ds:schemaRefs>
</ds:datastoreItem>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Customization</vt:lpstr>
      <vt:lpstr>Events</vt:lpstr>
      <vt:lpstr>Deductions</vt:lpstr>
      <vt:lpstr>Work Records</vt:lpstr>
      <vt:lpstr>Pivot Table</vt:lpstr>
      <vt:lpstr>Dashboard</vt:lpstr>
      <vt:lpstr>Attendance Recap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BAGUS JOKO PRASETYA</dc:creator>
  <cp:lastModifiedBy>MUHAMMAD BAGUS JOKO PRASETYA</cp:lastModifiedBy>
  <cp:lastPrinted>2026-10-14T09:33:54Z</cp:lastPrinted>
  <dcterms:created xsi:type="dcterms:W3CDTF">2026-10-04T07:48:42Z</dcterms:created>
  <dcterms:modified xsi:type="dcterms:W3CDTF">2026-10-15T12:42:40Z</dcterms:modified>
</cp:coreProperties>
</file>